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ivi" sheetId="1" r:id="rId5"/>
    <sheet state="visible" name="Tableau croisé dynamique 4" sheetId="2" r:id="rId6"/>
    <sheet state="visible" name="Général" sheetId="3" r:id="rId7"/>
    <sheet state="visible" name="théâtre" sheetId="4" r:id="rId8"/>
    <sheet state="visible" name="banque" sheetId="5" r:id="rId9"/>
    <sheet state="visible" name="créa" sheetId="6" r:id="rId10"/>
    <sheet state="visible" name="CCMP" sheetId="7" r:id="rId11"/>
    <sheet state="visible" name="gastro" sheetId="8" r:id="rId12"/>
    <sheet state="visible" name="classique" sheetId="9" r:id="rId13"/>
    <sheet state="visible" name="Salle ins" sheetId="10" r:id="rId14"/>
    <sheet state="visible" name="Comédie" sheetId="11" r:id="rId15"/>
    <sheet state="visible" name="PapiMaMine" sheetId="12" r:id="rId16"/>
    <sheet state="visible" name="ciné" sheetId="13" r:id="rId17"/>
  </sheets>
  <definedNames/>
  <calcPr/>
  <pivotCaches>
    <pivotCache cacheId="0" r:id="rId18"/>
  </pivotCaches>
</workbook>
</file>

<file path=xl/sharedStrings.xml><?xml version="1.0" encoding="utf-8"?>
<sst xmlns="http://schemas.openxmlformats.org/spreadsheetml/2006/main" count="750" uniqueCount="143">
  <si>
    <t>Date</t>
  </si>
  <si>
    <t>Motif</t>
  </si>
  <si>
    <t>Catégorie</t>
  </si>
  <si>
    <t>Dépense</t>
  </si>
  <si>
    <t>Recette</t>
  </si>
  <si>
    <t>Payeur</t>
  </si>
  <si>
    <t>Remboursé</t>
  </si>
  <si>
    <t>Facture</t>
  </si>
  <si>
    <t>Film</t>
  </si>
  <si>
    <t>CCMP</t>
  </si>
  <si>
    <t>Mikhail</t>
  </si>
  <si>
    <t>oui</t>
  </si>
  <si>
    <t>Piles</t>
  </si>
  <si>
    <t>salle ins</t>
  </si>
  <si>
    <t>Alexis Derail</t>
  </si>
  <si>
    <t>dettes</t>
  </si>
  <si>
    <t>Gastro</t>
  </si>
  <si>
    <t>Solène Losantos</t>
  </si>
  <si>
    <t>concerts</t>
  </si>
  <si>
    <t>classique</t>
  </si>
  <si>
    <t>Adam Bidi</t>
  </si>
  <si>
    <t>buffet concert BDA</t>
  </si>
  <si>
    <t>Frais dossier passace</t>
  </si>
  <si>
    <t>banque</t>
  </si>
  <si>
    <t>CEIDF</t>
  </si>
  <si>
    <t>soirée 1</t>
  </si>
  <si>
    <t>créa</t>
  </si>
  <si>
    <t>Josephine Peronne</t>
  </si>
  <si>
    <t>Misanthrope + Scapin</t>
  </si>
  <si>
    <t>théâtre</t>
  </si>
  <si>
    <t>Comédie Française</t>
  </si>
  <si>
    <t>soirée 26/06</t>
  </si>
  <si>
    <t>Joséphine Peronne</t>
  </si>
  <si>
    <t>Pôle</t>
  </si>
  <si>
    <t>Budget</t>
  </si>
  <si>
    <t>Réel</t>
  </si>
  <si>
    <t>Delta</t>
  </si>
  <si>
    <t>Cotisation salle ins'</t>
  </si>
  <si>
    <t>Général</t>
  </si>
  <si>
    <t>Killian Bujon</t>
  </si>
  <si>
    <t>Théâtre</t>
  </si>
  <si>
    <t>parrainage</t>
  </si>
  <si>
    <t>Th. Renaissance</t>
  </si>
  <si>
    <t>Total dépenses</t>
  </si>
  <si>
    <t>Musique</t>
  </si>
  <si>
    <t>Constellation</t>
  </si>
  <si>
    <t>PCV</t>
  </si>
  <si>
    <t>Total recettes</t>
  </si>
  <si>
    <t>Art créa</t>
  </si>
  <si>
    <t>Vente matos</t>
  </si>
  <si>
    <t>Total net</t>
  </si>
  <si>
    <t>Sorties/ Expo</t>
  </si>
  <si>
    <t>BALM</t>
  </si>
  <si>
    <t>Tom Back</t>
  </si>
  <si>
    <t>Danse/ Comédie musicale</t>
  </si>
  <si>
    <t>Alexandre Viot</t>
  </si>
  <si>
    <t>Cinéma</t>
  </si>
  <si>
    <t>Romain Lelaidier</t>
  </si>
  <si>
    <t>Bibliothèque</t>
  </si>
  <si>
    <t>Soirée créa</t>
  </si>
  <si>
    <t>Créa</t>
  </si>
  <si>
    <t>Journée BDA</t>
  </si>
  <si>
    <t>Total</t>
  </si>
  <si>
    <t>Cyrano</t>
  </si>
  <si>
    <t>Entretien</t>
  </si>
  <si>
    <t>Machine de Turing</t>
  </si>
  <si>
    <t>Lucas Duhautois</t>
  </si>
  <si>
    <t>Tabliers</t>
  </si>
  <si>
    <t>gastro</t>
  </si>
  <si>
    <t>Radio France</t>
  </si>
  <si>
    <t>Classique</t>
  </si>
  <si>
    <t>créa Parrainage</t>
  </si>
  <si>
    <t>Joséphinne Peronne</t>
  </si>
  <si>
    <t>Radio France 2</t>
  </si>
  <si>
    <t>th parrainage</t>
  </si>
  <si>
    <t>ampli</t>
  </si>
  <si>
    <t>frais dossier passace</t>
  </si>
  <si>
    <t>radio france</t>
  </si>
  <si>
    <t>remboursement</t>
  </si>
  <si>
    <t>Alexandre</t>
  </si>
  <si>
    <t>matos gastro</t>
  </si>
  <si>
    <t>créa octobre</t>
  </si>
  <si>
    <t>recettes parrainage</t>
  </si>
  <si>
    <t>recettes champs</t>
  </si>
  <si>
    <t>recettes Cyrano</t>
  </si>
  <si>
    <t>recettes Scapin</t>
  </si>
  <si>
    <t>recettes Misanthrope</t>
  </si>
  <si>
    <t>recettes Turing</t>
  </si>
  <si>
    <t>atelier</t>
  </si>
  <si>
    <t>matos</t>
  </si>
  <si>
    <t>places</t>
  </si>
  <si>
    <t>Comédie</t>
  </si>
  <si>
    <t>recettes philharmonie</t>
  </si>
  <si>
    <t>recettes M radio</t>
  </si>
  <si>
    <t>PapiMaMine</t>
  </si>
  <si>
    <t>Elena Drematcheff</t>
  </si>
  <si>
    <t>ciné</t>
  </si>
  <si>
    <t>Romaric Ligeret</t>
  </si>
  <si>
    <t>erasmus days</t>
  </si>
  <si>
    <t>ouverture comptes</t>
  </si>
  <si>
    <t>recettes Edmond</t>
  </si>
  <si>
    <t>recettes J.Baker</t>
  </si>
  <si>
    <t>recettes Kissin</t>
  </si>
  <si>
    <t>recettes Chopin</t>
  </si>
  <si>
    <t>recettes Masterclass</t>
  </si>
  <si>
    <t>Cotiz</t>
  </si>
  <si>
    <t>Meuhsterchef</t>
  </si>
  <si>
    <t>assurance</t>
  </si>
  <si>
    <t>Subventions PSLweek</t>
  </si>
  <si>
    <t>concert Joly Rockets</t>
  </si>
  <si>
    <t>Concert couz</t>
  </si>
  <si>
    <t>proj</t>
  </si>
  <si>
    <t>Mikhail Kataevskii</t>
  </si>
  <si>
    <t>fil</t>
  </si>
  <si>
    <t>Remy Level</t>
  </si>
  <si>
    <t>buffet concert noel</t>
  </si>
  <si>
    <t>Gabriel Vds</t>
  </si>
  <si>
    <t>Salle ins</t>
  </si>
  <si>
    <t>recettes Hamlet</t>
  </si>
  <si>
    <t>soirée créa</t>
  </si>
  <si>
    <t>Luigi Romain</t>
  </si>
  <si>
    <t>Gabin Sagot</t>
  </si>
  <si>
    <t>vente matos</t>
  </si>
  <si>
    <t>remboursement cotiz</t>
  </si>
  <si>
    <t>Campagnes liste 1</t>
  </si>
  <si>
    <t>Vicente Spada</t>
  </si>
  <si>
    <t>Campagnes liste 2</t>
  </si>
  <si>
    <t>Eugene de Maistre</t>
  </si>
  <si>
    <t>Buffet 3A</t>
  </si>
  <si>
    <t>Junior ENS Saclay</t>
  </si>
  <si>
    <t xml:space="preserve">Général </t>
  </si>
  <si>
    <t>SUM de Dépense</t>
  </si>
  <si>
    <t>SUM de Recette</t>
  </si>
  <si>
    <t>Champ calculé 1</t>
  </si>
  <si>
    <t>Dépenses</t>
  </si>
  <si>
    <t>Recettes</t>
  </si>
  <si>
    <t>Total général</t>
  </si>
  <si>
    <t>Poles</t>
  </si>
  <si>
    <t>Clubs</t>
  </si>
  <si>
    <t>matos masterclass</t>
  </si>
  <si>
    <t>Frais dossier</t>
  </si>
  <si>
    <t>Bidi</t>
  </si>
  <si>
    <t>Derail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</si>
</sst>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-F800]dddd\,\ mmmm\ dd\,\ yyyy"/>
    <numFmt numFmtId="165" formatCode="#,##0.00\ &quot;€&quot;"/>
    <numFmt numFmtId="166" formatCode="dd/mm/yy"/>
    <numFmt numFmtId="167" formatCode="dd/mm/yyyy"/>
    <numFmt numFmtId="168" formatCode="d/m/yy"/>
  </numFmts>
  <fonts count="6">
    <font>
      <sz val="10.0"/>
      <color rgb="FF000000"/>
      <name val="Arial"/>
      <scheme val="minor"/>
    </font>
    <font>
      <b/>
      <sz val="11.0"/>
      <color theme="1"/>
      <name val="Aptos Narrow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vertical="bottom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right" readingOrder="0" vertical="bottom"/>
    </xf>
    <xf borderId="0" fillId="0" fontId="4" numFmtId="166" xfId="0" applyAlignment="1" applyFont="1" applyNumberFormat="1">
      <alignment readingOrder="0"/>
    </xf>
    <xf borderId="0" fillId="2" fontId="5" numFmtId="0" xfId="0" applyAlignment="1" applyFill="1" applyFont="1">
      <alignment horizontal="center" readingOrder="0" vertical="bottom"/>
    </xf>
    <xf borderId="0" fillId="2" fontId="2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right" readingOrder="0" vertical="bottom"/>
    </xf>
    <xf borderId="0" fillId="2" fontId="4" numFmtId="0" xfId="0" applyFont="1"/>
    <xf borderId="0" fillId="0" fontId="4" numFmtId="0" xfId="0" applyFont="1"/>
    <xf borderId="0" fillId="2" fontId="3" numFmtId="0" xfId="0" applyAlignment="1" applyFont="1">
      <alignment readingOrder="0" vertical="bottom"/>
    </xf>
    <xf borderId="0" fillId="2" fontId="4" numFmtId="0" xfId="0" applyAlignment="1" applyFont="1">
      <alignment readingOrder="0"/>
    </xf>
    <xf borderId="0" fillId="2" fontId="3" numFmtId="0" xfId="0" applyAlignment="1" applyFont="1">
      <alignment horizontal="right" vertical="bottom"/>
    </xf>
    <xf borderId="0" fillId="2" fontId="5" numFmtId="0" xfId="0" applyAlignment="1" applyFont="1">
      <alignment horizontal="right" vertical="bottom"/>
    </xf>
    <xf borderId="0" fillId="0" fontId="4" numFmtId="167" xfId="0" applyAlignment="1" applyFont="1" applyNumberFormat="1">
      <alignment readingOrder="0"/>
    </xf>
    <xf borderId="0" fillId="0" fontId="4" numFmtId="168" xfId="0" applyAlignment="1" applyFont="1" applyNumberFormat="1">
      <alignment readingOrder="0"/>
    </xf>
    <xf borderId="0" fillId="3" fontId="4" numFmtId="0" xfId="0" applyFill="1" applyFont="1"/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1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Dépenses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croisé dynamique 4'!$M$7:$M$10</c:f>
            </c:strRef>
          </c:cat>
          <c:val>
            <c:numRef>
              <c:f>'Tableau croisé dynamique 4'!$N$7:$N$10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Recettes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'Tableau croisé dynamique 4'!$M$7:$M$10</c:f>
            </c:strRef>
          </c:cat>
          <c:val>
            <c:numRef>
              <c:f>'Tableau croisé dynamique 4'!$O$7:$O$10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'Tableau croisé dynamique 4'!$N$6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4'!$M$7:$M$11</c:f>
            </c:strRef>
          </c:cat>
          <c:val>
            <c:numRef>
              <c:f>'Tableau croisé dynamique 4'!$N$7:$N$11</c:f>
              <c:numCache/>
            </c:numRef>
          </c:val>
        </c:ser>
        <c:ser>
          <c:idx val="1"/>
          <c:order val="1"/>
          <c:tx>
            <c:strRef>
              <c:f>'Tableau croisé dynamique 4'!$O$6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4'!$M$7:$M$11</c:f>
            </c:strRef>
          </c:cat>
          <c:val>
            <c:numRef>
              <c:f>'Tableau croisé dynamique 4'!$O$7:$O$11</c:f>
              <c:numCache/>
            </c:numRef>
          </c:val>
        </c:ser>
        <c:ser>
          <c:idx val="2"/>
          <c:order val="2"/>
          <c:tx>
            <c:strRef>
              <c:f>'Tableau croisé dynamique 4'!$P$6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4'!$M$7:$M$11</c:f>
            </c:strRef>
          </c:cat>
          <c:val>
            <c:numRef>
              <c:f>'Tableau croisé dynamique 4'!$P$7:$P$11</c:f>
              <c:numCache/>
            </c:numRef>
          </c:val>
        </c:ser>
        <c:axId val="873462482"/>
        <c:axId val="989906871"/>
      </c:barChart>
      <c:catAx>
        <c:axId val="8734624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9906871"/>
      </c:catAx>
      <c:valAx>
        <c:axId val="989906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46248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'Tableau croisé dynamique 4'!$M$7:$M$10</c:f>
            </c:strRef>
          </c:cat>
          <c:val>
            <c:numRef>
              <c:f>'Tableau croisé dynamique 4'!$N$7:$N$10</c:f>
              <c:numCache/>
            </c:numRef>
          </c:val>
        </c:ser>
        <c:axId val="1773040950"/>
        <c:axId val="1792375873"/>
      </c:barChart>
      <c:catAx>
        <c:axId val="17730409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2375873"/>
      </c:catAx>
      <c:valAx>
        <c:axId val="1792375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04095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704850</xdr:colOff>
      <xdr:row>16</xdr:row>
      <xdr:rowOff>114300</xdr:rowOff>
    </xdr:from>
    <xdr:ext cx="5715000" cy="353377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657225</xdr:colOff>
      <xdr:row>35</xdr:row>
      <xdr:rowOff>95250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104775</xdr:colOff>
      <xdr:row>0</xdr:row>
      <xdr:rowOff>57150</xdr:rowOff>
    </xdr:from>
    <xdr:ext cx="5715000" cy="3533775"/>
    <xdr:graphicFrame>
      <xdr:nvGraphicFramePr>
        <xdr:cNvPr id="3" name="Chart 3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314325</xdr:colOff>
      <xdr:row>21</xdr:row>
      <xdr:rowOff>19050</xdr:rowOff>
    </xdr:from>
    <xdr:ext cx="5715000" cy="3533775"/>
    <xdr:graphicFrame>
      <xdr:nvGraphicFramePr>
        <xdr:cNvPr id="4" name="Chart 4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E200" sheet="Suivi"/>
  </cacheSource>
  <cacheFields>
    <cacheField name="Catégorie" numFmtId="0">
      <sharedItems containsBlank="1">
        <s v="CCMP"/>
        <s v="salle ins"/>
        <s v="Gastro"/>
        <s v="classique"/>
        <s v="banque"/>
        <s v="créa"/>
        <s v="théâtre"/>
        <s v="Général"/>
        <s v="Comédie"/>
        <s v="PapiMaMine"/>
        <s v="ciné"/>
        <s v="Général "/>
        <m/>
      </sharedItems>
    </cacheField>
    <cacheField name="Dépense" numFmtId="0">
      <sharedItems containsString="0" containsBlank="1" containsNumber="1">
        <n v="3.99"/>
        <n v="7.1"/>
        <n v="13.34"/>
        <n v="502.0"/>
        <n v="246.79"/>
        <n v="50.0"/>
        <n v="56.11"/>
        <n v="450.0"/>
        <n v="50.28"/>
        <m/>
        <n v="600.0"/>
        <n v="369.0"/>
        <n v="83.69"/>
        <n v="41.34"/>
        <n v="6.98"/>
        <n v="40.0"/>
        <n v="145.41"/>
        <n v="180.0"/>
        <n v="76.6"/>
        <n v="270.0"/>
        <n v="49.82"/>
        <n v="26.05"/>
        <n v="78.41"/>
        <n v="200.0"/>
        <n v="60.0"/>
        <n v="460.0"/>
        <n v="15.0"/>
        <n v="79.95"/>
        <n v="52.38"/>
        <n v="125.21"/>
        <n v="204.8"/>
        <n v="90.25"/>
        <n v="625.0"/>
        <n v="162.0"/>
        <n v="400.0"/>
        <n v="10.0"/>
        <n v="166.84"/>
        <n v="56.0"/>
        <n v="214.82"/>
        <n v="83.61"/>
        <n v="201.87"/>
        <n v="194.07"/>
        <n v="197.0"/>
        <n v="102.5"/>
        <n v="33.0"/>
        <n v="45.0"/>
        <n v="500.0"/>
        <n v="25.93"/>
        <n v="9.4"/>
        <n v="145.39"/>
        <n v="25.65"/>
        <n v="138.86"/>
        <n v="601.21"/>
      </sharedItems>
    </cacheField>
    <cacheField name="Recette" numFmtId="0">
      <sharedItems containsString="0" containsBlank="1" containsNumber="1">
        <m/>
        <n v="5.0"/>
        <n v="500.0"/>
        <n v="70.0"/>
        <n v="32.0"/>
        <n v="60.0"/>
        <n v="40.0"/>
        <n v="270.0"/>
        <n v="30.0"/>
        <n v="152.0"/>
        <n v="160.0"/>
        <n v="178.0"/>
        <n v="29.0"/>
        <n v="39.0"/>
        <n v="650.0"/>
        <n v="258.0"/>
        <n v="403.0"/>
        <n v="33.0"/>
        <n v="770.0"/>
        <n v="3775.0"/>
        <n v="330.0"/>
        <n v="200.0"/>
        <n v="31.0"/>
        <n v="390.0"/>
        <n v="34.0"/>
        <n v="100.0"/>
        <n v="94.0"/>
        <n v="54.0"/>
        <n v="598.35"/>
        <n v="250.0"/>
      </sharedItems>
    </cacheField>
    <cacheField name="Champ calculé 1" formula="Recette-'Dépense'" databaseField="0"/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4" cacheId="0" dataCaption="" compact="0" compactData="0">
  <location ref="A1:D15" firstHeaderRow="0" firstDataRow="2" firstDataCol="0"/>
  <pivotFields>
    <pivotField name="Catégorie" axis="axisRow" compact="0" outline="0" multipleItemSelectionAllowed="1" showAll="0" sortType="ascending">
      <items>
        <item x="12"/>
        <item x="4"/>
        <item x="0"/>
        <item x="10"/>
        <item x="3"/>
        <item x="8"/>
        <item x="5"/>
        <item x="2"/>
        <item x="7"/>
        <item x="11"/>
        <item x="9"/>
        <item x="1"/>
        <item x="6"/>
        <item t="default"/>
      </items>
    </pivotField>
    <pivotField name="Dépens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Recett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dataField="1" compact="0" outline="0" subtotalTop="0" dragToRow="0" dragToCol="0" dragToPage="0" showAll="0" includeNewItemsInFilter="1" defaultSubtotal="0"/>
  </pivotFields>
  <rowFields>
    <field x="0"/>
  </rowFields>
  <colFields>
    <field x="-2"/>
  </colFields>
  <dataFields>
    <dataField name="SUM of Dépense" fld="1" baseField="0"/>
    <dataField name="SUM of Recette" fld="2" baseField="0"/>
    <dataField name="SUM of Champ calculé 1" fld="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6" max="6" width="19.25"/>
    <col customWidth="1" min="7" max="7" width="10.75"/>
    <col customWidth="1" min="8" max="8" width="1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45746.0</v>
      </c>
      <c r="B2" s="6" t="s">
        <v>8</v>
      </c>
      <c r="C2" s="6" t="s">
        <v>9</v>
      </c>
      <c r="D2" s="7">
        <v>3.99</v>
      </c>
      <c r="E2" s="6"/>
      <c r="F2" s="6" t="s">
        <v>10</v>
      </c>
      <c r="G2" s="8" t="s">
        <v>11</v>
      </c>
      <c r="H2" s="9" t="s">
        <v>11</v>
      </c>
    </row>
    <row r="3">
      <c r="A3" s="5">
        <v>45760.0</v>
      </c>
      <c r="B3" s="6" t="s">
        <v>12</v>
      </c>
      <c r="C3" s="9" t="s">
        <v>13</v>
      </c>
      <c r="D3" s="7">
        <v>7.1</v>
      </c>
      <c r="E3" s="6"/>
      <c r="F3" s="6" t="s">
        <v>14</v>
      </c>
      <c r="G3" s="8" t="s">
        <v>11</v>
      </c>
    </row>
    <row r="4">
      <c r="A4" s="5">
        <v>45817.0</v>
      </c>
      <c r="B4" s="8" t="s">
        <v>15</v>
      </c>
      <c r="C4" s="8" t="s">
        <v>16</v>
      </c>
      <c r="D4" s="10">
        <v>13.34</v>
      </c>
      <c r="E4" s="6"/>
      <c r="F4" s="8" t="s">
        <v>17</v>
      </c>
      <c r="G4" s="8" t="s">
        <v>11</v>
      </c>
    </row>
    <row r="5">
      <c r="A5" s="5">
        <v>45818.0</v>
      </c>
      <c r="B5" s="6" t="s">
        <v>18</v>
      </c>
      <c r="C5" s="8" t="s">
        <v>19</v>
      </c>
      <c r="D5" s="7">
        <v>502.0</v>
      </c>
      <c r="E5" s="6"/>
      <c r="F5" s="6" t="s">
        <v>20</v>
      </c>
      <c r="G5" s="8" t="s">
        <v>11</v>
      </c>
      <c r="H5" s="9" t="s">
        <v>11</v>
      </c>
    </row>
    <row r="6">
      <c r="A6" s="5">
        <v>45824.0</v>
      </c>
      <c r="B6" s="6" t="s">
        <v>21</v>
      </c>
      <c r="C6" s="6" t="s">
        <v>16</v>
      </c>
      <c r="D6" s="7">
        <v>246.79</v>
      </c>
      <c r="E6" s="6"/>
      <c r="F6" s="6" t="s">
        <v>17</v>
      </c>
      <c r="G6" s="8" t="s">
        <v>11</v>
      </c>
      <c r="H6" s="9" t="s">
        <v>11</v>
      </c>
    </row>
    <row r="7">
      <c r="A7" s="11">
        <v>45826.0</v>
      </c>
      <c r="B7" s="9" t="s">
        <v>22</v>
      </c>
      <c r="C7" s="9" t="s">
        <v>23</v>
      </c>
      <c r="D7" s="9">
        <v>50.0</v>
      </c>
      <c r="H7" s="9" t="s">
        <v>24</v>
      </c>
    </row>
    <row r="8">
      <c r="A8" s="5">
        <v>45829.0</v>
      </c>
      <c r="B8" s="6" t="s">
        <v>25</v>
      </c>
      <c r="C8" s="8" t="s">
        <v>26</v>
      </c>
      <c r="D8" s="7">
        <v>56.11</v>
      </c>
      <c r="E8" s="6"/>
      <c r="F8" s="6" t="s">
        <v>27</v>
      </c>
      <c r="G8" s="8" t="s">
        <v>11</v>
      </c>
      <c r="H8" s="9" t="s">
        <v>11</v>
      </c>
    </row>
    <row r="9">
      <c r="A9" s="11">
        <v>45829.0</v>
      </c>
      <c r="B9" s="9" t="s">
        <v>28</v>
      </c>
      <c r="C9" s="9" t="s">
        <v>29</v>
      </c>
      <c r="D9" s="9">
        <v>450.0</v>
      </c>
      <c r="H9" s="9" t="s">
        <v>30</v>
      </c>
    </row>
    <row r="10">
      <c r="A10" s="11">
        <v>45832.0</v>
      </c>
      <c r="B10" s="9" t="s">
        <v>31</v>
      </c>
      <c r="C10" s="9" t="s">
        <v>26</v>
      </c>
      <c r="D10" s="9">
        <v>50.28</v>
      </c>
      <c r="F10" s="9" t="s">
        <v>32</v>
      </c>
      <c r="G10" s="9" t="s">
        <v>11</v>
      </c>
      <c r="H10" s="9" t="s">
        <v>11</v>
      </c>
      <c r="O10" s="12" t="s">
        <v>33</v>
      </c>
      <c r="Q10" s="12" t="s">
        <v>34</v>
      </c>
      <c r="R10" s="13" t="s">
        <v>35</v>
      </c>
      <c r="S10" s="13" t="s">
        <v>36</v>
      </c>
    </row>
    <row r="11">
      <c r="A11" s="11">
        <v>45833.0</v>
      </c>
      <c r="B11" s="9" t="s">
        <v>37</v>
      </c>
      <c r="C11" s="9" t="s">
        <v>38</v>
      </c>
      <c r="E11" s="9">
        <v>5.0</v>
      </c>
      <c r="F11" s="9" t="s">
        <v>39</v>
      </c>
      <c r="O11" s="14" t="s">
        <v>40</v>
      </c>
      <c r="Q11" s="15">
        <v>600.0</v>
      </c>
      <c r="R11" s="16">
        <f>-'théâtre'!L7</f>
        <v>538</v>
      </c>
      <c r="S11" s="16">
        <f t="shared" ref="S11:S17" si="1">R11-Q11</f>
        <v>-62</v>
      </c>
    </row>
    <row r="12">
      <c r="A12" s="11">
        <v>45839.0</v>
      </c>
      <c r="B12" s="9" t="s">
        <v>41</v>
      </c>
      <c r="C12" s="9" t="s">
        <v>38</v>
      </c>
      <c r="D12" s="9">
        <v>600.0</v>
      </c>
      <c r="H12" s="9" t="s">
        <v>42</v>
      </c>
      <c r="J12" s="9" t="s">
        <v>43</v>
      </c>
      <c r="K12" s="17">
        <f>SUM(D2:D200)</f>
        <v>9462.65</v>
      </c>
      <c r="O12" s="18" t="s">
        <v>44</v>
      </c>
      <c r="Q12" s="15">
        <v>700.0</v>
      </c>
      <c r="R12" s="19">
        <f>-classique!L7</f>
        <v>372</v>
      </c>
      <c r="S12" s="16">
        <f t="shared" si="1"/>
        <v>-328</v>
      </c>
    </row>
    <row r="13">
      <c r="A13" s="11">
        <v>45840.0</v>
      </c>
      <c r="B13" s="9" t="s">
        <v>45</v>
      </c>
      <c r="C13" s="9" t="s">
        <v>38</v>
      </c>
      <c r="E13" s="9">
        <v>500.0</v>
      </c>
      <c r="F13" s="9" t="s">
        <v>46</v>
      </c>
      <c r="H13" s="9" t="s">
        <v>46</v>
      </c>
      <c r="J13" s="9" t="s">
        <v>47</v>
      </c>
      <c r="K13" s="17">
        <f>SUM(E2:E200)</f>
        <v>9755.35</v>
      </c>
      <c r="O13" s="14" t="s">
        <v>48</v>
      </c>
      <c r="Q13" s="20">
        <v>600.0</v>
      </c>
      <c r="R13" s="16">
        <f>-'créa'!L7</f>
        <v>528.43</v>
      </c>
      <c r="S13" s="16">
        <f t="shared" si="1"/>
        <v>-71.57</v>
      </c>
    </row>
    <row r="14">
      <c r="A14" s="11">
        <v>45895.0</v>
      </c>
      <c r="B14" s="9" t="s">
        <v>49</v>
      </c>
      <c r="C14" s="9" t="s">
        <v>13</v>
      </c>
      <c r="E14" s="9">
        <v>70.0</v>
      </c>
      <c r="F14" s="9" t="s">
        <v>14</v>
      </c>
      <c r="G14" s="9" t="s">
        <v>11</v>
      </c>
      <c r="J14" s="9" t="s">
        <v>50</v>
      </c>
      <c r="K14" s="17">
        <f>K13-K12</f>
        <v>292.7</v>
      </c>
      <c r="O14" s="14" t="s">
        <v>51</v>
      </c>
      <c r="Q14" s="20">
        <v>200.0</v>
      </c>
      <c r="R14" s="19">
        <v>0.0</v>
      </c>
      <c r="S14" s="16">
        <f t="shared" si="1"/>
        <v>-200</v>
      </c>
    </row>
    <row r="15">
      <c r="A15" s="11">
        <v>45900.0</v>
      </c>
      <c r="B15" s="9" t="s">
        <v>52</v>
      </c>
      <c r="C15" s="9" t="s">
        <v>38</v>
      </c>
      <c r="D15" s="9">
        <v>369.0</v>
      </c>
      <c r="F15" s="9" t="s">
        <v>53</v>
      </c>
      <c r="G15" s="9" t="s">
        <v>11</v>
      </c>
      <c r="O15" s="14" t="s">
        <v>54</v>
      </c>
      <c r="Q15" s="20">
        <v>300.0</v>
      </c>
      <c r="R15" s="16">
        <f>-'Comédie'!L7</f>
        <v>222</v>
      </c>
      <c r="S15" s="16">
        <f t="shared" si="1"/>
        <v>-78</v>
      </c>
    </row>
    <row r="16">
      <c r="A16" s="11">
        <v>45902.0</v>
      </c>
      <c r="B16" s="9" t="s">
        <v>52</v>
      </c>
      <c r="C16" s="9" t="s">
        <v>38</v>
      </c>
      <c r="D16" s="9">
        <v>83.69</v>
      </c>
      <c r="F16" s="9" t="s">
        <v>55</v>
      </c>
      <c r="G16" s="9" t="s">
        <v>11</v>
      </c>
      <c r="O16" s="14" t="s">
        <v>56</v>
      </c>
      <c r="Q16" s="20">
        <v>200.0</v>
      </c>
      <c r="R16" s="16">
        <f>-'ciné'!L7</f>
        <v>126.93</v>
      </c>
      <c r="S16" s="16">
        <f t="shared" si="1"/>
        <v>-73.07</v>
      </c>
    </row>
    <row r="17">
      <c r="A17" s="11">
        <v>45902.0</v>
      </c>
      <c r="B17" s="9" t="s">
        <v>52</v>
      </c>
      <c r="C17" s="9" t="s">
        <v>38</v>
      </c>
      <c r="D17" s="9">
        <v>41.34</v>
      </c>
      <c r="F17" s="9" t="s">
        <v>57</v>
      </c>
      <c r="G17" s="9" t="s">
        <v>11</v>
      </c>
      <c r="O17" s="14" t="s">
        <v>58</v>
      </c>
      <c r="Q17" s="20">
        <v>50.0</v>
      </c>
      <c r="R17" s="19">
        <v>0.0</v>
      </c>
      <c r="S17" s="16">
        <f t="shared" si="1"/>
        <v>-50</v>
      </c>
    </row>
    <row r="18">
      <c r="A18" s="11">
        <v>45905.0</v>
      </c>
      <c r="B18" s="9" t="s">
        <v>59</v>
      </c>
      <c r="C18" s="9" t="s">
        <v>60</v>
      </c>
      <c r="D18" s="9">
        <v>6.98</v>
      </c>
      <c r="F18" s="9" t="s">
        <v>57</v>
      </c>
      <c r="G18" s="9" t="s">
        <v>11</v>
      </c>
      <c r="O18" s="14"/>
      <c r="Q18" s="15"/>
      <c r="R18" s="19"/>
      <c r="S18" s="16"/>
    </row>
    <row r="19">
      <c r="A19" s="11">
        <v>45906.0</v>
      </c>
      <c r="B19" s="9" t="s">
        <v>61</v>
      </c>
      <c r="C19" s="9" t="s">
        <v>38</v>
      </c>
      <c r="D19" s="9">
        <v>40.0</v>
      </c>
      <c r="F19" s="9" t="s">
        <v>57</v>
      </c>
      <c r="G19" s="9" t="s">
        <v>11</v>
      </c>
      <c r="O19" s="21" t="s">
        <v>62</v>
      </c>
      <c r="Q19" s="20">
        <f t="shared" ref="Q19:R19" si="2">SUM(Q11:Q18)</f>
        <v>2650</v>
      </c>
      <c r="R19" s="20">
        <f t="shared" si="2"/>
        <v>1787.36</v>
      </c>
      <c r="S19" s="16">
        <f>R19-Q19</f>
        <v>-862.64</v>
      </c>
    </row>
    <row r="20">
      <c r="A20" s="22">
        <v>45910.0</v>
      </c>
      <c r="B20" s="9" t="s">
        <v>59</v>
      </c>
      <c r="C20" s="9" t="s">
        <v>26</v>
      </c>
      <c r="D20" s="9">
        <v>145.41</v>
      </c>
      <c r="F20" s="9" t="s">
        <v>27</v>
      </c>
      <c r="G20" s="9" t="s">
        <v>11</v>
      </c>
    </row>
    <row r="21">
      <c r="A21" s="11">
        <v>45911.0</v>
      </c>
      <c r="B21" s="9" t="s">
        <v>63</v>
      </c>
      <c r="C21" s="9" t="s">
        <v>29</v>
      </c>
      <c r="D21" s="9">
        <v>180.0</v>
      </c>
      <c r="G21" s="9" t="s">
        <v>11</v>
      </c>
    </row>
    <row r="22">
      <c r="A22" s="11">
        <v>45911.0</v>
      </c>
      <c r="B22" s="9" t="s">
        <v>64</v>
      </c>
      <c r="C22" s="9" t="s">
        <v>13</v>
      </c>
      <c r="D22" s="9">
        <v>76.6</v>
      </c>
      <c r="F22" s="9" t="s">
        <v>14</v>
      </c>
      <c r="G22" s="9" t="s">
        <v>11</v>
      </c>
    </row>
    <row r="23">
      <c r="A23" s="11">
        <v>45912.0</v>
      </c>
      <c r="B23" s="9" t="s">
        <v>65</v>
      </c>
      <c r="C23" s="9" t="s">
        <v>29</v>
      </c>
      <c r="D23" s="9">
        <v>270.0</v>
      </c>
      <c r="F23" s="9" t="s">
        <v>66</v>
      </c>
      <c r="G23" s="9" t="s">
        <v>11</v>
      </c>
    </row>
    <row r="24">
      <c r="A24" s="11">
        <v>45916.0</v>
      </c>
      <c r="B24" s="9" t="s">
        <v>67</v>
      </c>
      <c r="C24" s="9" t="s">
        <v>68</v>
      </c>
      <c r="D24" s="9">
        <v>49.82</v>
      </c>
      <c r="F24" s="9" t="s">
        <v>17</v>
      </c>
      <c r="G24" s="9" t="s">
        <v>11</v>
      </c>
    </row>
    <row r="25">
      <c r="A25" s="11">
        <v>45917.0</v>
      </c>
      <c r="B25" s="9" t="s">
        <v>69</v>
      </c>
      <c r="C25" s="9" t="s">
        <v>70</v>
      </c>
      <c r="E25" s="9">
        <v>32.0</v>
      </c>
      <c r="G25" s="9" t="s">
        <v>11</v>
      </c>
    </row>
    <row r="26">
      <c r="A26" s="11">
        <v>45922.0</v>
      </c>
      <c r="B26" s="9" t="s">
        <v>64</v>
      </c>
      <c r="C26" s="9" t="s">
        <v>13</v>
      </c>
      <c r="D26" s="9">
        <v>26.05</v>
      </c>
      <c r="F26" s="9" t="s">
        <v>14</v>
      </c>
      <c r="G26" s="9" t="s">
        <v>11</v>
      </c>
    </row>
    <row r="27">
      <c r="A27" s="11">
        <v>45922.0</v>
      </c>
      <c r="B27" s="9" t="s">
        <v>49</v>
      </c>
      <c r="C27" s="9" t="s">
        <v>13</v>
      </c>
      <c r="E27" s="9">
        <v>60.0</v>
      </c>
      <c r="F27" s="9" t="s">
        <v>14</v>
      </c>
      <c r="G27" s="9" t="s">
        <v>11</v>
      </c>
    </row>
    <row r="28">
      <c r="A28" s="11">
        <v>45930.0</v>
      </c>
      <c r="B28" s="9" t="s">
        <v>71</v>
      </c>
      <c r="C28" s="9" t="s">
        <v>26</v>
      </c>
      <c r="D28" s="9">
        <v>78.41</v>
      </c>
      <c r="F28" s="9" t="s">
        <v>72</v>
      </c>
      <c r="G28" s="9" t="s">
        <v>11</v>
      </c>
    </row>
    <row r="29">
      <c r="A29" s="11">
        <v>45934.0</v>
      </c>
      <c r="B29" s="9" t="s">
        <v>73</v>
      </c>
      <c r="C29" s="9" t="s">
        <v>19</v>
      </c>
      <c r="E29" s="9">
        <v>40.0</v>
      </c>
      <c r="G29" s="9" t="s">
        <v>11</v>
      </c>
    </row>
    <row r="30">
      <c r="A30" s="11">
        <v>45934.0</v>
      </c>
      <c r="B30" s="9" t="s">
        <v>74</v>
      </c>
      <c r="C30" s="9" t="s">
        <v>29</v>
      </c>
    </row>
    <row r="31">
      <c r="A31" s="11">
        <v>45937.0</v>
      </c>
      <c r="B31" s="9" t="s">
        <v>75</v>
      </c>
      <c r="C31" s="9" t="s">
        <v>13</v>
      </c>
      <c r="D31" s="9">
        <v>200.0</v>
      </c>
      <c r="F31" s="9" t="s">
        <v>14</v>
      </c>
      <c r="G31" s="9" t="s">
        <v>11</v>
      </c>
    </row>
    <row r="32">
      <c r="A32" s="11">
        <v>45937.0</v>
      </c>
      <c r="B32" s="9" t="s">
        <v>76</v>
      </c>
      <c r="C32" s="9" t="s">
        <v>23</v>
      </c>
      <c r="D32" s="9">
        <v>50.0</v>
      </c>
      <c r="G32" s="9" t="s">
        <v>11</v>
      </c>
    </row>
    <row r="33">
      <c r="A33" s="23">
        <v>45940.0</v>
      </c>
      <c r="B33" s="9" t="s">
        <v>77</v>
      </c>
      <c r="C33" s="9" t="s">
        <v>19</v>
      </c>
      <c r="D33" s="9">
        <v>60.0</v>
      </c>
      <c r="F33" s="9" t="s">
        <v>20</v>
      </c>
      <c r="G33" s="9" t="s">
        <v>11</v>
      </c>
    </row>
    <row r="34">
      <c r="A34" s="23">
        <v>45955.0</v>
      </c>
      <c r="B34" s="9" t="s">
        <v>65</v>
      </c>
      <c r="C34" s="9" t="s">
        <v>29</v>
      </c>
      <c r="D34" s="9">
        <v>460.0</v>
      </c>
      <c r="F34" s="9" t="s">
        <v>66</v>
      </c>
      <c r="G34" s="9" t="s">
        <v>11</v>
      </c>
    </row>
    <row r="35">
      <c r="A35" s="23">
        <v>45955.0</v>
      </c>
      <c r="B35" s="9" t="s">
        <v>78</v>
      </c>
      <c r="C35" s="9" t="s">
        <v>38</v>
      </c>
      <c r="D35" s="9">
        <v>15.0</v>
      </c>
      <c r="F35" s="9" t="s">
        <v>79</v>
      </c>
      <c r="G35" s="9" t="s">
        <v>11</v>
      </c>
    </row>
    <row r="36">
      <c r="A36" s="23">
        <v>45957.0</v>
      </c>
      <c r="B36" s="9" t="s">
        <v>80</v>
      </c>
      <c r="C36" s="9" t="s">
        <v>68</v>
      </c>
      <c r="D36" s="9">
        <v>79.95</v>
      </c>
      <c r="E36" s="23"/>
      <c r="F36" s="9" t="s">
        <v>79</v>
      </c>
      <c r="G36" s="9" t="s">
        <v>11</v>
      </c>
    </row>
    <row r="37">
      <c r="A37" s="23">
        <v>45958.0</v>
      </c>
      <c r="B37" s="9" t="s">
        <v>81</v>
      </c>
      <c r="C37" s="9" t="s">
        <v>26</v>
      </c>
      <c r="D37" s="9">
        <v>52.38</v>
      </c>
      <c r="F37" s="9" t="s">
        <v>32</v>
      </c>
      <c r="G37" s="9" t="s">
        <v>11</v>
      </c>
    </row>
    <row r="38">
      <c r="A38" s="23">
        <v>45958.0</v>
      </c>
      <c r="B38" s="9" t="s">
        <v>82</v>
      </c>
      <c r="C38" s="9" t="s">
        <v>38</v>
      </c>
      <c r="E38" s="9">
        <v>270.0</v>
      </c>
    </row>
    <row r="39">
      <c r="A39" s="23">
        <v>45958.0</v>
      </c>
      <c r="B39" s="9" t="s">
        <v>83</v>
      </c>
      <c r="C39" s="9" t="s">
        <v>19</v>
      </c>
      <c r="E39" s="9">
        <v>30.0</v>
      </c>
    </row>
    <row r="40">
      <c r="A40" s="23">
        <v>45958.0</v>
      </c>
      <c r="B40" s="9" t="s">
        <v>84</v>
      </c>
      <c r="C40" s="9" t="s">
        <v>29</v>
      </c>
      <c r="E40" s="9">
        <v>152.0</v>
      </c>
    </row>
    <row r="41">
      <c r="A41" s="23">
        <v>45959.0</v>
      </c>
      <c r="B41" s="9" t="s">
        <v>85</v>
      </c>
      <c r="C41" s="9" t="s">
        <v>29</v>
      </c>
      <c r="E41" s="9">
        <v>160.0</v>
      </c>
    </row>
    <row r="42">
      <c r="A42" s="23">
        <v>45958.0</v>
      </c>
      <c r="B42" s="9" t="s">
        <v>86</v>
      </c>
      <c r="C42" s="9" t="s">
        <v>29</v>
      </c>
      <c r="E42" s="9">
        <v>160.0</v>
      </c>
    </row>
    <row r="43">
      <c r="A43" s="23">
        <v>45958.0</v>
      </c>
      <c r="B43" s="9" t="s">
        <v>87</v>
      </c>
      <c r="C43" s="9" t="s">
        <v>29</v>
      </c>
      <c r="E43" s="9">
        <v>178.0</v>
      </c>
    </row>
    <row r="44">
      <c r="A44" s="11">
        <v>45963.0</v>
      </c>
      <c r="B44" s="9" t="s">
        <v>88</v>
      </c>
      <c r="C44" s="9" t="s">
        <v>68</v>
      </c>
      <c r="D44" s="9">
        <v>125.21</v>
      </c>
      <c r="F44" s="9" t="s">
        <v>79</v>
      </c>
      <c r="G44" s="9" t="s">
        <v>11</v>
      </c>
    </row>
    <row r="45">
      <c r="A45" s="11">
        <v>45966.0</v>
      </c>
      <c r="B45" s="9" t="s">
        <v>89</v>
      </c>
      <c r="C45" s="9" t="s">
        <v>13</v>
      </c>
      <c r="D45" s="9">
        <v>204.8</v>
      </c>
      <c r="F45" s="9" t="s">
        <v>14</v>
      </c>
      <c r="G45" s="9" t="s">
        <v>11</v>
      </c>
    </row>
    <row r="46">
      <c r="A46" s="11">
        <v>45967.0</v>
      </c>
      <c r="B46" s="9" t="s">
        <v>89</v>
      </c>
      <c r="C46" s="9" t="s">
        <v>38</v>
      </c>
      <c r="D46" s="9">
        <v>90.25</v>
      </c>
      <c r="F46" s="9" t="s">
        <v>53</v>
      </c>
      <c r="G46" s="9" t="s">
        <v>11</v>
      </c>
    </row>
    <row r="47">
      <c r="A47" s="23">
        <v>45976.0</v>
      </c>
      <c r="B47" s="9" t="s">
        <v>90</v>
      </c>
      <c r="C47" s="9" t="s">
        <v>91</v>
      </c>
      <c r="D47" s="9">
        <v>625.0</v>
      </c>
    </row>
    <row r="48">
      <c r="A48" s="23">
        <v>45980.0</v>
      </c>
      <c r="B48" s="9" t="s">
        <v>90</v>
      </c>
      <c r="C48" s="9" t="s">
        <v>19</v>
      </c>
      <c r="D48" s="9">
        <v>162.0</v>
      </c>
      <c r="F48" s="9" t="s">
        <v>20</v>
      </c>
      <c r="G48" s="9" t="s">
        <v>11</v>
      </c>
    </row>
    <row r="49">
      <c r="A49" s="23">
        <v>45980.0</v>
      </c>
      <c r="B49" s="9" t="s">
        <v>89</v>
      </c>
      <c r="C49" s="9" t="s">
        <v>13</v>
      </c>
      <c r="D49" s="9">
        <v>400.0</v>
      </c>
      <c r="F49" s="9" t="s">
        <v>14</v>
      </c>
      <c r="G49" s="9" t="s">
        <v>11</v>
      </c>
    </row>
    <row r="50">
      <c r="A50" s="11">
        <v>45994.0</v>
      </c>
      <c r="B50" s="9" t="s">
        <v>92</v>
      </c>
      <c r="C50" s="9" t="s">
        <v>19</v>
      </c>
      <c r="E50" s="9">
        <v>29.0</v>
      </c>
    </row>
    <row r="51">
      <c r="A51" s="11">
        <v>45995.0</v>
      </c>
      <c r="B51" s="9" t="s">
        <v>93</v>
      </c>
      <c r="C51" s="9" t="s">
        <v>19</v>
      </c>
      <c r="E51" s="9">
        <v>39.0</v>
      </c>
    </row>
    <row r="52">
      <c r="A52" s="11">
        <v>45995.0</v>
      </c>
      <c r="B52" s="9" t="s">
        <v>30</v>
      </c>
      <c r="C52" s="9" t="s">
        <v>29</v>
      </c>
      <c r="D52" s="9">
        <v>180.0</v>
      </c>
    </row>
    <row r="53">
      <c r="A53" s="11">
        <v>45996.0</v>
      </c>
      <c r="B53" s="9" t="s">
        <v>89</v>
      </c>
      <c r="C53" s="9" t="s">
        <v>13</v>
      </c>
      <c r="D53" s="9">
        <v>10.0</v>
      </c>
      <c r="F53" s="9" t="s">
        <v>14</v>
      </c>
      <c r="G53" s="9" t="s">
        <v>11</v>
      </c>
    </row>
    <row r="54">
      <c r="A54" s="11">
        <v>45997.0</v>
      </c>
      <c r="B54" s="9" t="s">
        <v>89</v>
      </c>
      <c r="C54" s="9" t="s">
        <v>94</v>
      </c>
      <c r="D54" s="9">
        <v>166.84</v>
      </c>
      <c r="F54" s="9" t="s">
        <v>95</v>
      </c>
      <c r="G54" s="9" t="s">
        <v>11</v>
      </c>
    </row>
    <row r="55">
      <c r="A55" s="23">
        <v>46004.0</v>
      </c>
      <c r="B55" s="9" t="s">
        <v>96</v>
      </c>
      <c r="C55" s="9" t="s">
        <v>96</v>
      </c>
      <c r="D55" s="9">
        <v>56.0</v>
      </c>
      <c r="F55" s="9" t="s">
        <v>97</v>
      </c>
      <c r="G55" s="9" t="s">
        <v>11</v>
      </c>
    </row>
    <row r="56">
      <c r="A56" s="23">
        <v>46005.0</v>
      </c>
      <c r="B56" s="9" t="s">
        <v>98</v>
      </c>
      <c r="C56" s="9" t="s">
        <v>68</v>
      </c>
      <c r="D56" s="9">
        <v>214.82</v>
      </c>
      <c r="F56" s="9" t="s">
        <v>17</v>
      </c>
      <c r="G56" s="9" t="s">
        <v>11</v>
      </c>
    </row>
    <row r="57">
      <c r="A57" s="23">
        <v>46005.0</v>
      </c>
      <c r="B57" s="9" t="s">
        <v>99</v>
      </c>
      <c r="C57" s="9" t="s">
        <v>38</v>
      </c>
      <c r="E57" s="9">
        <v>650.0</v>
      </c>
    </row>
    <row r="58">
      <c r="A58" s="23">
        <v>46011.0</v>
      </c>
      <c r="B58" s="9" t="s">
        <v>100</v>
      </c>
      <c r="C58" s="9" t="s">
        <v>29</v>
      </c>
      <c r="E58" s="9">
        <v>258.0</v>
      </c>
    </row>
    <row r="59">
      <c r="A59" s="23">
        <v>46011.0</v>
      </c>
      <c r="B59" s="9" t="s">
        <v>101</v>
      </c>
      <c r="C59" s="9" t="s">
        <v>91</v>
      </c>
      <c r="E59" s="9">
        <v>403.0</v>
      </c>
    </row>
    <row r="60">
      <c r="A60" s="23">
        <v>46011.0</v>
      </c>
      <c r="B60" s="9" t="s">
        <v>102</v>
      </c>
      <c r="C60" s="9" t="s">
        <v>19</v>
      </c>
      <c r="E60" s="9">
        <v>30.0</v>
      </c>
    </row>
    <row r="61">
      <c r="A61" s="23">
        <v>46011.0</v>
      </c>
      <c r="B61" s="9" t="s">
        <v>103</v>
      </c>
      <c r="C61" s="9" t="s">
        <v>19</v>
      </c>
      <c r="E61" s="9">
        <v>33.0</v>
      </c>
    </row>
    <row r="62">
      <c r="A62" s="23">
        <v>46011.0</v>
      </c>
      <c r="B62" s="9" t="s">
        <v>104</v>
      </c>
      <c r="C62" s="9" t="s">
        <v>38</v>
      </c>
      <c r="E62" s="9">
        <v>770.0</v>
      </c>
    </row>
    <row r="63">
      <c r="A63" s="11">
        <v>46028.0</v>
      </c>
      <c r="B63" s="9" t="s">
        <v>105</v>
      </c>
      <c r="C63" s="9" t="s">
        <v>38</v>
      </c>
      <c r="E63" s="9">
        <v>3775.0</v>
      </c>
    </row>
    <row r="64">
      <c r="A64" s="11">
        <v>46028.0</v>
      </c>
      <c r="B64" s="9" t="s">
        <v>106</v>
      </c>
      <c r="C64" s="9" t="s">
        <v>68</v>
      </c>
      <c r="D64" s="9">
        <v>83.61</v>
      </c>
      <c r="F64" s="9" t="s">
        <v>17</v>
      </c>
      <c r="G64" s="9" t="s">
        <v>11</v>
      </c>
    </row>
    <row r="65">
      <c r="A65" s="11">
        <v>46028.0</v>
      </c>
      <c r="B65" s="9" t="s">
        <v>21</v>
      </c>
      <c r="C65" s="9" t="s">
        <v>38</v>
      </c>
      <c r="D65" s="9">
        <v>201.87</v>
      </c>
      <c r="F65" s="9" t="s">
        <v>17</v>
      </c>
      <c r="G65" s="9" t="s">
        <v>11</v>
      </c>
    </row>
    <row r="66">
      <c r="A66" s="11">
        <v>46028.0</v>
      </c>
      <c r="B66" s="9" t="s">
        <v>46</v>
      </c>
      <c r="C66" s="9" t="s">
        <v>94</v>
      </c>
      <c r="E66" s="9">
        <v>330.0</v>
      </c>
    </row>
    <row r="67">
      <c r="A67" s="11">
        <v>46029.0</v>
      </c>
      <c r="B67" s="9" t="s">
        <v>107</v>
      </c>
      <c r="C67" s="9" t="s">
        <v>38</v>
      </c>
      <c r="D67" s="9">
        <v>194.07</v>
      </c>
    </row>
    <row r="68">
      <c r="A68" s="11">
        <v>46037.0</v>
      </c>
      <c r="B68" s="9" t="s">
        <v>89</v>
      </c>
      <c r="C68" s="9" t="s">
        <v>13</v>
      </c>
      <c r="D68" s="9">
        <v>197.0</v>
      </c>
      <c r="F68" s="9" t="s">
        <v>14</v>
      </c>
      <c r="G68" s="9" t="s">
        <v>11</v>
      </c>
    </row>
    <row r="69">
      <c r="A69" s="11">
        <v>46038.0</v>
      </c>
      <c r="B69" s="9" t="s">
        <v>108</v>
      </c>
      <c r="C69" s="9" t="s">
        <v>68</v>
      </c>
      <c r="E69" s="9">
        <v>200.0</v>
      </c>
    </row>
    <row r="70">
      <c r="A70" s="11">
        <v>46038.0</v>
      </c>
      <c r="B70" s="9" t="s">
        <v>109</v>
      </c>
      <c r="C70" s="9" t="s">
        <v>38</v>
      </c>
      <c r="D70" s="9">
        <v>102.5</v>
      </c>
      <c r="F70" s="9" t="s">
        <v>53</v>
      </c>
      <c r="G70" s="9" t="s">
        <v>11</v>
      </c>
    </row>
    <row r="71">
      <c r="A71" s="11">
        <v>46038.0</v>
      </c>
      <c r="B71" s="9" t="s">
        <v>92</v>
      </c>
      <c r="C71" s="9" t="s">
        <v>19</v>
      </c>
      <c r="E71" s="9">
        <v>31.0</v>
      </c>
    </row>
    <row r="72">
      <c r="A72" s="11">
        <v>46039.0</v>
      </c>
      <c r="B72" s="9" t="s">
        <v>89</v>
      </c>
      <c r="C72" s="9" t="s">
        <v>13</v>
      </c>
      <c r="D72" s="9">
        <v>33.0</v>
      </c>
      <c r="F72" s="9" t="s">
        <v>14</v>
      </c>
      <c r="G72" s="9" t="s">
        <v>11</v>
      </c>
    </row>
    <row r="73">
      <c r="A73" s="11">
        <v>46045.0</v>
      </c>
      <c r="B73" s="9" t="s">
        <v>90</v>
      </c>
      <c r="C73" s="9" t="s">
        <v>96</v>
      </c>
      <c r="D73" s="9">
        <v>45.0</v>
      </c>
      <c r="F73" s="9" t="s">
        <v>97</v>
      </c>
      <c r="G73" s="9" t="s">
        <v>11</v>
      </c>
    </row>
    <row r="74">
      <c r="A74" s="11">
        <v>46049.0</v>
      </c>
      <c r="B74" s="9" t="s">
        <v>110</v>
      </c>
      <c r="C74" s="9" t="s">
        <v>38</v>
      </c>
      <c r="D74" s="9">
        <v>500.0</v>
      </c>
      <c r="F74" s="9" t="s">
        <v>55</v>
      </c>
      <c r="G74" s="9" t="s">
        <v>11</v>
      </c>
    </row>
    <row r="75">
      <c r="A75" s="11">
        <v>46053.0</v>
      </c>
      <c r="B75" s="9" t="s">
        <v>49</v>
      </c>
      <c r="C75" s="9" t="s">
        <v>13</v>
      </c>
      <c r="E75" s="9">
        <v>390.0</v>
      </c>
    </row>
    <row r="76">
      <c r="A76" s="11">
        <v>46053.0</v>
      </c>
      <c r="B76" s="9" t="s">
        <v>111</v>
      </c>
      <c r="C76" s="9" t="s">
        <v>9</v>
      </c>
      <c r="D76" s="9">
        <v>25.93</v>
      </c>
      <c r="F76" s="9" t="s">
        <v>112</v>
      </c>
      <c r="G76" s="9" t="s">
        <v>11</v>
      </c>
    </row>
    <row r="77">
      <c r="A77" s="11">
        <v>46055.0</v>
      </c>
      <c r="B77" s="9" t="s">
        <v>83</v>
      </c>
      <c r="C77" s="9" t="s">
        <v>19</v>
      </c>
      <c r="E77" s="9">
        <v>34.0</v>
      </c>
    </row>
    <row r="78">
      <c r="A78" s="11">
        <v>46063.0</v>
      </c>
      <c r="B78" s="9" t="s">
        <v>113</v>
      </c>
      <c r="C78" s="9" t="s">
        <v>94</v>
      </c>
      <c r="D78" s="9">
        <v>9.4</v>
      </c>
      <c r="F78" s="9" t="s">
        <v>95</v>
      </c>
      <c r="G78" s="9" t="s">
        <v>11</v>
      </c>
    </row>
    <row r="79">
      <c r="A79" s="11">
        <v>46063.0</v>
      </c>
      <c r="B79" s="9" t="s">
        <v>21</v>
      </c>
      <c r="C79" s="9" t="s">
        <v>16</v>
      </c>
      <c r="D79" s="9">
        <v>145.39</v>
      </c>
      <c r="F79" s="9" t="s">
        <v>114</v>
      </c>
      <c r="G79" s="9" t="s">
        <v>11</v>
      </c>
    </row>
    <row r="80">
      <c r="A80" s="11">
        <v>46072.0</v>
      </c>
      <c r="B80" s="9" t="s">
        <v>115</v>
      </c>
      <c r="C80" s="9" t="s">
        <v>16</v>
      </c>
      <c r="D80" s="9">
        <v>25.65</v>
      </c>
      <c r="F80" s="9" t="s">
        <v>116</v>
      </c>
      <c r="G80" s="9" t="s">
        <v>11</v>
      </c>
    </row>
    <row r="81">
      <c r="A81" s="11">
        <v>46081.0</v>
      </c>
      <c r="B81" s="9" t="s">
        <v>49</v>
      </c>
      <c r="C81" s="9" t="s">
        <v>117</v>
      </c>
      <c r="E81" s="9">
        <v>100.0</v>
      </c>
    </row>
    <row r="82">
      <c r="A82" s="11">
        <v>46082.0</v>
      </c>
      <c r="B82" s="9" t="s">
        <v>118</v>
      </c>
      <c r="C82" s="9" t="s">
        <v>29</v>
      </c>
      <c r="E82" s="9">
        <v>94.0</v>
      </c>
    </row>
    <row r="83">
      <c r="A83" s="11">
        <v>46082.0</v>
      </c>
      <c r="B83" s="9" t="s">
        <v>93</v>
      </c>
      <c r="C83" s="9" t="s">
        <v>19</v>
      </c>
      <c r="E83" s="9">
        <v>54.0</v>
      </c>
    </row>
    <row r="84">
      <c r="A84" s="11">
        <v>46091.0</v>
      </c>
      <c r="B84" s="9" t="s">
        <v>119</v>
      </c>
      <c r="C84" s="9" t="s">
        <v>26</v>
      </c>
      <c r="D84" s="9">
        <v>138.86</v>
      </c>
      <c r="F84" s="9" t="s">
        <v>120</v>
      </c>
      <c r="G84" s="9" t="s">
        <v>11</v>
      </c>
    </row>
    <row r="85">
      <c r="A85" s="11">
        <v>46092.0</v>
      </c>
      <c r="B85" s="9" t="s">
        <v>89</v>
      </c>
      <c r="C85" s="9" t="s">
        <v>13</v>
      </c>
      <c r="D85" s="9">
        <v>15.0</v>
      </c>
      <c r="F85" s="9" t="s">
        <v>121</v>
      </c>
      <c r="G85" s="9" t="s">
        <v>11</v>
      </c>
    </row>
    <row r="86">
      <c r="A86" s="11">
        <v>46093.0</v>
      </c>
      <c r="B86" s="9" t="s">
        <v>122</v>
      </c>
      <c r="C86" s="9" t="s">
        <v>13</v>
      </c>
      <c r="E86" s="9">
        <v>30.0</v>
      </c>
    </row>
    <row r="87">
      <c r="A87" s="11">
        <v>46094.0</v>
      </c>
      <c r="B87" s="9" t="s">
        <v>123</v>
      </c>
      <c r="C87" s="9" t="s">
        <v>38</v>
      </c>
      <c r="D87" s="9">
        <v>45.0</v>
      </c>
      <c r="G87" s="9" t="s">
        <v>11</v>
      </c>
    </row>
    <row r="88">
      <c r="A88" s="11">
        <v>46120.0</v>
      </c>
      <c r="B88" s="9" t="s">
        <v>124</v>
      </c>
      <c r="C88" s="9" t="s">
        <v>38</v>
      </c>
      <c r="D88" s="9">
        <v>601.21</v>
      </c>
      <c r="F88" s="9" t="s">
        <v>125</v>
      </c>
      <c r="G88" s="9" t="s">
        <v>11</v>
      </c>
    </row>
    <row r="89">
      <c r="A89" s="11">
        <v>46120.0</v>
      </c>
      <c r="B89" s="9" t="s">
        <v>126</v>
      </c>
      <c r="C89" s="9" t="s">
        <v>38</v>
      </c>
      <c r="D89" s="9">
        <v>600.0</v>
      </c>
      <c r="F89" s="9" t="s">
        <v>127</v>
      </c>
      <c r="G89" s="9" t="s">
        <v>11</v>
      </c>
    </row>
    <row r="90">
      <c r="A90" s="11">
        <v>46120.0</v>
      </c>
      <c r="B90" s="9" t="s">
        <v>128</v>
      </c>
      <c r="C90" s="9" t="s">
        <v>16</v>
      </c>
      <c r="E90" s="9">
        <v>598.35</v>
      </c>
    </row>
    <row r="91">
      <c r="A91" s="11">
        <v>46120.0</v>
      </c>
      <c r="B91" s="9" t="s">
        <v>129</v>
      </c>
      <c r="C91" s="9" t="s">
        <v>130</v>
      </c>
      <c r="E91" s="9">
        <v>250.0</v>
      </c>
    </row>
  </sheetData>
  <mergeCells count="10">
    <mergeCell ref="O17:P17"/>
    <mergeCell ref="O18:P18"/>
    <mergeCell ref="O19:P19"/>
    <mergeCell ref="O10:P10"/>
    <mergeCell ref="O11:P11"/>
    <mergeCell ref="O12:P12"/>
    <mergeCell ref="O13:P13"/>
    <mergeCell ref="O14:P14"/>
    <mergeCell ref="O15:P15"/>
    <mergeCell ref="O16:P16"/>
  </mergeCells>
  <dataValidations>
    <dataValidation type="list" allowBlank="1" showErrorMessage="1" sqref="G2:G6 G8 G10 G14:G29 G31:G37 G44:G46 G48:G49 G53:G56 G64:G65 G68 G70 G72:G74 G76 G78:G80 G84:G85 G87:G89">
      <formula1>"oui,non"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M1" s="9" t="s">
        <v>134</v>
      </c>
      <c r="N1" s="9" t="s">
        <v>135</v>
      </c>
      <c r="O1" s="9" t="s">
        <v>50</v>
      </c>
    </row>
    <row r="2">
      <c r="L2" s="17" t="s">
        <v>136</v>
      </c>
      <c r="M2" s="17">
        <f t="shared" ref="M2:O2" si="1">B14</f>
        <v>1540</v>
      </c>
      <c r="N2" s="17">
        <f t="shared" si="1"/>
        <v>1002</v>
      </c>
      <c r="O2" s="17">
        <f t="shared" si="1"/>
        <v>-538</v>
      </c>
    </row>
    <row r="3"/>
    <row r="4"/>
    <row r="5"/>
    <row r="6">
      <c r="N6" s="9" t="s">
        <v>134</v>
      </c>
      <c r="O6" s="9" t="s">
        <v>135</v>
      </c>
      <c r="P6" s="9" t="s">
        <v>50</v>
      </c>
    </row>
    <row r="7">
      <c r="M7" s="9" t="s">
        <v>137</v>
      </c>
      <c r="N7" s="17">
        <f t="shared" ref="N7:O7" si="2">SUM(B5:B8)+B14</f>
        <v>3518.43</v>
      </c>
      <c r="O7" s="17">
        <f t="shared" si="2"/>
        <v>1757</v>
      </c>
      <c r="P7" s="17">
        <f t="shared" ref="P7:P11" si="4">-N7+O7</f>
        <v>-1761.43</v>
      </c>
    </row>
    <row r="8">
      <c r="M8" s="9" t="s">
        <v>138</v>
      </c>
      <c r="N8" s="17">
        <f t="shared" ref="N8:O8" si="3">B4+B9+B12</f>
        <v>1190.74</v>
      </c>
      <c r="O8" s="17">
        <f t="shared" si="3"/>
        <v>1128.35</v>
      </c>
      <c r="P8" s="17">
        <f t="shared" si="4"/>
        <v>-62.39</v>
      </c>
    </row>
    <row r="9">
      <c r="M9" s="9" t="s">
        <v>117</v>
      </c>
      <c r="N9" s="17">
        <f t="shared" ref="N9:O9" si="5">B13</f>
        <v>1169.55</v>
      </c>
      <c r="O9" s="17">
        <f t="shared" si="5"/>
        <v>650</v>
      </c>
      <c r="P9" s="17">
        <f t="shared" si="4"/>
        <v>-519.55</v>
      </c>
    </row>
    <row r="10">
      <c r="M10" s="9" t="s">
        <v>38</v>
      </c>
      <c r="N10" s="17">
        <f>B3+B10</f>
        <v>3583.93</v>
      </c>
      <c r="O10" s="17">
        <f>C3+C10+C11</f>
        <v>6220</v>
      </c>
      <c r="P10" s="17">
        <f t="shared" si="4"/>
        <v>2636.07</v>
      </c>
    </row>
    <row r="11">
      <c r="M11" s="9" t="s">
        <v>62</v>
      </c>
      <c r="N11" s="17">
        <f t="shared" ref="N11:O11" si="6">SUM(N7:N10)</f>
        <v>9462.65</v>
      </c>
      <c r="O11" s="17">
        <f t="shared" si="6"/>
        <v>9755.35</v>
      </c>
      <c r="P11" s="24">
        <f t="shared" si="4"/>
        <v>292.7</v>
      </c>
    </row>
    <row r="12"/>
    <row r="13"/>
    <row r="14"/>
    <row r="1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11">
        <v>45833.0</v>
      </c>
      <c r="B2" s="9" t="s">
        <v>37</v>
      </c>
      <c r="C2" s="9" t="s">
        <v>38</v>
      </c>
      <c r="E2" s="9">
        <v>5.0</v>
      </c>
      <c r="F2" s="9" t="s">
        <v>39</v>
      </c>
    </row>
    <row r="3">
      <c r="A3" s="11">
        <v>45839.0</v>
      </c>
      <c r="B3" s="9" t="s">
        <v>41</v>
      </c>
      <c r="C3" s="9" t="s">
        <v>38</v>
      </c>
      <c r="D3" s="9">
        <v>600.0</v>
      </c>
      <c r="H3" s="9" t="s">
        <v>42</v>
      </c>
    </row>
    <row r="4">
      <c r="A4" s="11">
        <v>45840.0</v>
      </c>
      <c r="B4" s="9" t="s">
        <v>45</v>
      </c>
      <c r="C4" s="9" t="s">
        <v>38</v>
      </c>
      <c r="E4" s="9">
        <v>500.0</v>
      </c>
      <c r="F4" s="9" t="s">
        <v>46</v>
      </c>
      <c r="H4" s="9" t="s">
        <v>46</v>
      </c>
    </row>
    <row r="5">
      <c r="A5" s="11">
        <v>45900.0</v>
      </c>
      <c r="B5" s="9" t="s">
        <v>52</v>
      </c>
      <c r="C5" s="9" t="s">
        <v>38</v>
      </c>
      <c r="D5" s="9">
        <v>369.0</v>
      </c>
      <c r="F5" s="9" t="s">
        <v>53</v>
      </c>
      <c r="G5" s="9" t="s">
        <v>11</v>
      </c>
      <c r="J5" s="9" t="s">
        <v>43</v>
      </c>
      <c r="K5" s="17">
        <f>SUM(D2:D200)</f>
        <v>2237.72</v>
      </c>
    </row>
    <row r="6">
      <c r="A6" s="11">
        <v>45902.0</v>
      </c>
      <c r="B6" s="9" t="s">
        <v>52</v>
      </c>
      <c r="C6" s="9" t="s">
        <v>38</v>
      </c>
      <c r="D6" s="9">
        <v>83.69</v>
      </c>
      <c r="F6" s="9" t="s">
        <v>55</v>
      </c>
      <c r="G6" s="9" t="s">
        <v>11</v>
      </c>
      <c r="J6" s="9" t="s">
        <v>47</v>
      </c>
      <c r="K6" s="17">
        <f>SUM(E2:E200)</f>
        <v>5320</v>
      </c>
    </row>
    <row r="7">
      <c r="A7" s="5">
        <v>45902.0</v>
      </c>
      <c r="B7" s="6" t="s">
        <v>52</v>
      </c>
      <c r="C7" s="6" t="s">
        <v>38</v>
      </c>
      <c r="D7" s="7">
        <v>41.34</v>
      </c>
      <c r="E7" s="6"/>
      <c r="F7" s="6" t="s">
        <v>57</v>
      </c>
      <c r="G7" s="6" t="s">
        <v>11</v>
      </c>
      <c r="J7" s="9" t="s">
        <v>50</v>
      </c>
      <c r="K7" s="17">
        <f>K6-K5</f>
        <v>3082.28</v>
      </c>
    </row>
    <row r="8">
      <c r="A8" s="5">
        <v>45906.0</v>
      </c>
      <c r="B8" s="6" t="s">
        <v>61</v>
      </c>
      <c r="C8" s="6" t="s">
        <v>38</v>
      </c>
      <c r="D8" s="7">
        <v>40.0</v>
      </c>
      <c r="E8" s="6"/>
      <c r="F8" s="6" t="s">
        <v>57</v>
      </c>
      <c r="G8" s="6" t="s">
        <v>11</v>
      </c>
    </row>
    <row r="9">
      <c r="A9" s="23">
        <v>45955.0</v>
      </c>
      <c r="B9" s="9" t="s">
        <v>78</v>
      </c>
      <c r="C9" s="9" t="s">
        <v>38</v>
      </c>
      <c r="D9" s="9">
        <v>15.0</v>
      </c>
      <c r="F9" s="9" t="s">
        <v>79</v>
      </c>
      <c r="G9" s="9" t="s">
        <v>11</v>
      </c>
    </row>
    <row r="10">
      <c r="A10" s="23">
        <v>45958.0</v>
      </c>
      <c r="B10" s="9" t="s">
        <v>82</v>
      </c>
      <c r="C10" s="9" t="s">
        <v>38</v>
      </c>
      <c r="E10" s="9">
        <v>270.0</v>
      </c>
    </row>
    <row r="11">
      <c r="A11" s="11">
        <v>45967.0</v>
      </c>
      <c r="B11" s="9" t="s">
        <v>139</v>
      </c>
      <c r="C11" s="9" t="s">
        <v>38</v>
      </c>
      <c r="D11" s="9">
        <v>90.25</v>
      </c>
      <c r="F11" s="9" t="s">
        <v>53</v>
      </c>
      <c r="G11" s="9" t="s">
        <v>11</v>
      </c>
    </row>
    <row r="12">
      <c r="A12" s="23">
        <v>46011.0</v>
      </c>
      <c r="B12" s="9" t="s">
        <v>104</v>
      </c>
      <c r="C12" s="9" t="s">
        <v>38</v>
      </c>
      <c r="E12" s="9">
        <v>770.0</v>
      </c>
    </row>
    <row r="13">
      <c r="A13" s="11">
        <v>46028.0</v>
      </c>
      <c r="B13" s="9" t="s">
        <v>105</v>
      </c>
      <c r="C13" s="9" t="s">
        <v>38</v>
      </c>
      <c r="E13" s="9">
        <v>3775.0</v>
      </c>
    </row>
    <row r="14">
      <c r="A14" s="11">
        <v>46028.0</v>
      </c>
      <c r="B14" s="9" t="s">
        <v>21</v>
      </c>
      <c r="C14" s="9" t="s">
        <v>38</v>
      </c>
      <c r="D14" s="9">
        <v>201.87</v>
      </c>
      <c r="F14" s="9" t="s">
        <v>17</v>
      </c>
      <c r="G14" s="9" t="s">
        <v>11</v>
      </c>
    </row>
    <row r="15">
      <c r="A15" s="11">
        <v>46029.0</v>
      </c>
      <c r="B15" s="9" t="s">
        <v>107</v>
      </c>
      <c r="C15" s="9" t="s">
        <v>38</v>
      </c>
      <c r="D15" s="9">
        <v>194.07</v>
      </c>
    </row>
    <row r="16">
      <c r="A16" s="11">
        <v>46038.0</v>
      </c>
      <c r="B16" s="9" t="s">
        <v>109</v>
      </c>
      <c r="C16" s="9" t="s">
        <v>38</v>
      </c>
      <c r="D16" s="9">
        <v>102.5</v>
      </c>
      <c r="F16" s="9" t="s">
        <v>53</v>
      </c>
      <c r="G16" s="9" t="s">
        <v>11</v>
      </c>
    </row>
    <row r="17">
      <c r="A17" s="5">
        <v>46049.0</v>
      </c>
      <c r="B17" s="6" t="s">
        <v>110</v>
      </c>
      <c r="C17" s="6" t="s">
        <v>38</v>
      </c>
      <c r="D17" s="7">
        <v>500.0</v>
      </c>
      <c r="E17" s="6"/>
      <c r="F17" s="6"/>
      <c r="G17" s="6"/>
    </row>
  </sheetData>
  <dataValidations>
    <dataValidation type="list" allowBlank="1" showErrorMessage="1" sqref="G5:G9 G11 G14 G16">
      <formula1>"oui,non"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13"/>
    <col customWidth="1" min="8" max="8" width="19.75"/>
  </cols>
  <sheetData>
    <row r="1">
      <c r="A1" s="1" t="s">
        <v>0</v>
      </c>
      <c r="B1" s="2" t="s">
        <v>1</v>
      </c>
      <c r="C1" s="25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45829.0</v>
      </c>
      <c r="B2" s="6" t="s">
        <v>28</v>
      </c>
      <c r="C2" s="6" t="s">
        <v>29</v>
      </c>
      <c r="D2" s="7">
        <v>450.0</v>
      </c>
      <c r="E2" s="6"/>
      <c r="F2" s="6"/>
      <c r="G2" s="6"/>
      <c r="H2" s="6" t="s">
        <v>30</v>
      </c>
    </row>
    <row r="3">
      <c r="A3" s="11">
        <v>45912.0</v>
      </c>
      <c r="B3" s="9" t="s">
        <v>65</v>
      </c>
      <c r="C3" s="9" t="s">
        <v>29</v>
      </c>
      <c r="D3" s="9">
        <v>270.0</v>
      </c>
      <c r="F3" s="9" t="s">
        <v>66</v>
      </c>
      <c r="G3" s="9" t="s">
        <v>11</v>
      </c>
    </row>
    <row r="4">
      <c r="A4" s="11">
        <v>45911.0</v>
      </c>
      <c r="B4" s="9" t="s">
        <v>63</v>
      </c>
      <c r="C4" s="9" t="s">
        <v>29</v>
      </c>
      <c r="D4" s="9">
        <v>180.0</v>
      </c>
    </row>
    <row r="5">
      <c r="A5" s="23">
        <v>45955.0</v>
      </c>
      <c r="B5" s="9" t="s">
        <v>65</v>
      </c>
      <c r="C5" s="9" t="s">
        <v>29</v>
      </c>
      <c r="D5" s="9">
        <v>460.0</v>
      </c>
      <c r="F5" s="9" t="s">
        <v>66</v>
      </c>
      <c r="G5" s="9" t="s">
        <v>11</v>
      </c>
      <c r="K5" s="9" t="s">
        <v>43</v>
      </c>
      <c r="L5" s="17">
        <f>SUM(D2:D200)</f>
        <v>1540</v>
      </c>
    </row>
    <row r="6">
      <c r="A6" s="23">
        <v>45958.0</v>
      </c>
      <c r="B6" s="9" t="s">
        <v>84</v>
      </c>
      <c r="C6" s="9" t="s">
        <v>29</v>
      </c>
      <c r="E6" s="9">
        <v>152.0</v>
      </c>
      <c r="K6" s="9" t="s">
        <v>47</v>
      </c>
      <c r="L6" s="17">
        <f>SUM(E2:E200)</f>
        <v>1002</v>
      </c>
    </row>
    <row r="7">
      <c r="A7" s="23">
        <v>45958.0</v>
      </c>
      <c r="B7" s="9" t="s">
        <v>85</v>
      </c>
      <c r="C7" s="9" t="s">
        <v>29</v>
      </c>
      <c r="E7" s="9">
        <v>160.0</v>
      </c>
      <c r="K7" s="9" t="s">
        <v>50</v>
      </c>
      <c r="L7" s="17">
        <f>L6-L5</f>
        <v>-538</v>
      </c>
    </row>
    <row r="8">
      <c r="A8" s="23">
        <v>45958.0</v>
      </c>
      <c r="B8" s="9" t="s">
        <v>86</v>
      </c>
      <c r="C8" s="9" t="s">
        <v>29</v>
      </c>
      <c r="E8" s="9">
        <v>160.0</v>
      </c>
    </row>
    <row r="9">
      <c r="A9" s="23">
        <v>45958.0</v>
      </c>
      <c r="B9" s="9" t="s">
        <v>87</v>
      </c>
      <c r="C9" s="9" t="s">
        <v>29</v>
      </c>
      <c r="E9" s="9">
        <v>178.0</v>
      </c>
    </row>
    <row r="10">
      <c r="A10" s="11">
        <v>45995.0</v>
      </c>
      <c r="B10" s="9" t="s">
        <v>30</v>
      </c>
      <c r="C10" s="9" t="s">
        <v>29</v>
      </c>
      <c r="D10" s="9">
        <v>180.0</v>
      </c>
    </row>
    <row r="11">
      <c r="A11" s="23">
        <v>46011.0</v>
      </c>
      <c r="B11" s="9" t="s">
        <v>100</v>
      </c>
      <c r="C11" s="9" t="s">
        <v>29</v>
      </c>
      <c r="E11" s="9">
        <v>258.0</v>
      </c>
    </row>
    <row r="12">
      <c r="A12" s="11">
        <v>46082.0</v>
      </c>
      <c r="B12" s="9" t="s">
        <v>118</v>
      </c>
      <c r="C12" s="9" t="s">
        <v>29</v>
      </c>
      <c r="E12" s="9">
        <v>94.0</v>
      </c>
    </row>
    <row r="14">
      <c r="A14" s="11"/>
    </row>
  </sheetData>
  <dataValidations>
    <dataValidation type="list" allowBlank="1" showErrorMessage="1" sqref="G3 G5">
      <formula1>"oui,non"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38"/>
  </cols>
  <sheetData>
    <row r="1">
      <c r="A1" s="1" t="s">
        <v>0</v>
      </c>
      <c r="B1" s="2" t="s">
        <v>1</v>
      </c>
      <c r="C1" s="25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45826.0</v>
      </c>
      <c r="B2" s="6" t="s">
        <v>140</v>
      </c>
      <c r="C2" s="6" t="s">
        <v>23</v>
      </c>
      <c r="D2" s="7">
        <v>50.0</v>
      </c>
      <c r="E2" s="6"/>
      <c r="F2" s="6"/>
      <c r="G2" s="6"/>
      <c r="H2" s="6"/>
    </row>
    <row r="3">
      <c r="A3" s="11">
        <v>45937.0</v>
      </c>
      <c r="B3" s="9" t="s">
        <v>76</v>
      </c>
      <c r="C3" s="9" t="s">
        <v>23</v>
      </c>
      <c r="D3" s="9">
        <v>50.0</v>
      </c>
      <c r="G3" s="9" t="s">
        <v>11</v>
      </c>
    </row>
    <row r="5">
      <c r="K5" s="9" t="s">
        <v>43</v>
      </c>
      <c r="L5" s="17">
        <f>SUM(D2:D200)</f>
        <v>100</v>
      </c>
    </row>
    <row r="6">
      <c r="K6" s="9" t="s">
        <v>47</v>
      </c>
      <c r="L6" s="17">
        <f>SUM(E2:E200)</f>
        <v>0</v>
      </c>
    </row>
    <row r="7">
      <c r="K7" s="9" t="s">
        <v>50</v>
      </c>
      <c r="L7" s="17">
        <f>L6-L5</f>
        <v>-100</v>
      </c>
    </row>
  </sheetData>
  <dataValidations>
    <dataValidation type="list" allowBlank="1" showErrorMessage="1" sqref="G2">
      <formula1>"Option ,Option 2"</formula1>
    </dataValidation>
    <dataValidation type="list" allowBlank="1" showErrorMessage="1" sqref="G3">
      <formula1>"oui,non"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5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45829.0</v>
      </c>
      <c r="B2" s="6" t="s">
        <v>25</v>
      </c>
      <c r="C2" s="8" t="s">
        <v>26</v>
      </c>
      <c r="D2" s="7">
        <v>56.11</v>
      </c>
      <c r="E2" s="6"/>
      <c r="F2" s="6" t="s">
        <v>27</v>
      </c>
      <c r="G2" s="8" t="s">
        <v>11</v>
      </c>
      <c r="H2" s="9" t="s">
        <v>11</v>
      </c>
    </row>
    <row r="3">
      <c r="A3" s="11">
        <v>45832.0</v>
      </c>
      <c r="B3" s="9" t="s">
        <v>31</v>
      </c>
      <c r="C3" s="9" t="s">
        <v>26</v>
      </c>
      <c r="D3" s="9">
        <v>50.28</v>
      </c>
      <c r="F3" s="9" t="s">
        <v>32</v>
      </c>
      <c r="G3" s="9" t="s">
        <v>11</v>
      </c>
      <c r="H3" s="9" t="s">
        <v>11</v>
      </c>
    </row>
    <row r="4">
      <c r="A4" s="11">
        <v>45905.0</v>
      </c>
      <c r="B4" s="9" t="s">
        <v>59</v>
      </c>
      <c r="C4" s="9" t="s">
        <v>60</v>
      </c>
      <c r="D4" s="9">
        <v>6.98</v>
      </c>
      <c r="F4" s="9" t="s">
        <v>57</v>
      </c>
      <c r="G4" s="9" t="s">
        <v>11</v>
      </c>
      <c r="H4" s="9" t="s">
        <v>11</v>
      </c>
    </row>
    <row r="5">
      <c r="A5" s="22">
        <v>45910.0</v>
      </c>
      <c r="B5" s="9" t="s">
        <v>59</v>
      </c>
      <c r="C5" s="9" t="s">
        <v>26</v>
      </c>
      <c r="D5" s="9">
        <v>145.41</v>
      </c>
      <c r="F5" s="9" t="s">
        <v>27</v>
      </c>
      <c r="G5" s="9" t="s">
        <v>11</v>
      </c>
      <c r="H5" s="9" t="s">
        <v>11</v>
      </c>
      <c r="K5" s="9" t="s">
        <v>43</v>
      </c>
      <c r="L5" s="17">
        <f>SUM(D2:D200)</f>
        <v>528.43</v>
      </c>
    </row>
    <row r="6">
      <c r="A6" s="11">
        <v>45930.0</v>
      </c>
      <c r="B6" s="9" t="s">
        <v>71</v>
      </c>
      <c r="C6" s="9" t="s">
        <v>26</v>
      </c>
      <c r="D6" s="9">
        <v>78.41</v>
      </c>
      <c r="F6" s="9" t="s">
        <v>72</v>
      </c>
      <c r="G6" s="9" t="s">
        <v>11</v>
      </c>
      <c r="H6" s="9" t="s">
        <v>11</v>
      </c>
      <c r="K6" s="9" t="s">
        <v>47</v>
      </c>
      <c r="L6" s="17">
        <f>SUM(E2:E200)</f>
        <v>0</v>
      </c>
    </row>
    <row r="7">
      <c r="A7" s="23">
        <v>45958.0</v>
      </c>
      <c r="B7" s="9" t="s">
        <v>81</v>
      </c>
      <c r="C7" s="9" t="s">
        <v>26</v>
      </c>
      <c r="D7" s="9">
        <v>52.38</v>
      </c>
      <c r="F7" s="9" t="s">
        <v>32</v>
      </c>
      <c r="G7" s="9" t="s">
        <v>11</v>
      </c>
      <c r="H7" s="9" t="s">
        <v>11</v>
      </c>
      <c r="K7" s="9" t="s">
        <v>50</v>
      </c>
      <c r="L7" s="17">
        <f>L6-L5</f>
        <v>-528.43</v>
      </c>
    </row>
    <row r="8">
      <c r="A8" s="11">
        <v>46091.0</v>
      </c>
      <c r="B8" s="9" t="s">
        <v>119</v>
      </c>
      <c r="C8" s="9" t="s">
        <v>26</v>
      </c>
      <c r="D8" s="9">
        <v>138.86</v>
      </c>
      <c r="F8" s="9" t="s">
        <v>120</v>
      </c>
      <c r="G8" s="9" t="s">
        <v>11</v>
      </c>
    </row>
  </sheetData>
  <dataValidations>
    <dataValidation type="list" allowBlank="1" showErrorMessage="1" sqref="G2:G8">
      <formula1>"oui,non"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45746.0</v>
      </c>
      <c r="B2" s="6" t="s">
        <v>8</v>
      </c>
      <c r="C2" s="6" t="s">
        <v>9</v>
      </c>
      <c r="D2" s="7">
        <v>3.99</v>
      </c>
      <c r="E2" s="6"/>
      <c r="F2" s="6" t="s">
        <v>10</v>
      </c>
      <c r="G2" s="8" t="s">
        <v>11</v>
      </c>
    </row>
    <row r="5">
      <c r="K5" s="9" t="s">
        <v>43</v>
      </c>
      <c r="L5" s="17">
        <f>SUM(D2:D200)</f>
        <v>3.99</v>
      </c>
    </row>
    <row r="6">
      <c r="K6" s="9" t="s">
        <v>47</v>
      </c>
      <c r="L6" s="17">
        <f>SUM(E2:E200)</f>
        <v>0</v>
      </c>
    </row>
    <row r="7">
      <c r="K7" s="9" t="s">
        <v>50</v>
      </c>
      <c r="L7" s="17">
        <f>L6-L5</f>
        <v>-3.99</v>
      </c>
    </row>
  </sheetData>
  <dataValidations>
    <dataValidation type="list" allowBlank="1" showErrorMessage="1" sqref="G2">
      <formula1>"oui,non"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45817.0</v>
      </c>
      <c r="B2" s="6" t="s">
        <v>15</v>
      </c>
      <c r="C2" s="6" t="s">
        <v>16</v>
      </c>
      <c r="D2" s="7">
        <v>13.34</v>
      </c>
      <c r="E2" s="6"/>
      <c r="F2" s="6" t="s">
        <v>17</v>
      </c>
      <c r="G2" s="6" t="s">
        <v>11</v>
      </c>
    </row>
    <row r="3">
      <c r="A3" s="5">
        <v>45824.0</v>
      </c>
      <c r="B3" s="6" t="s">
        <v>21</v>
      </c>
      <c r="C3" s="6" t="s">
        <v>16</v>
      </c>
      <c r="D3" s="7">
        <v>246.79</v>
      </c>
      <c r="E3" s="6"/>
      <c r="F3" s="6" t="s">
        <v>17</v>
      </c>
      <c r="G3" s="6" t="s">
        <v>11</v>
      </c>
    </row>
    <row r="4">
      <c r="A4" s="11">
        <v>45916.0</v>
      </c>
      <c r="B4" s="9" t="s">
        <v>67</v>
      </c>
      <c r="C4" s="9" t="s">
        <v>68</v>
      </c>
      <c r="D4" s="9">
        <v>49.82</v>
      </c>
      <c r="F4" s="9" t="s">
        <v>17</v>
      </c>
      <c r="G4" s="9" t="s">
        <v>11</v>
      </c>
    </row>
    <row r="5">
      <c r="A5" s="23">
        <v>45957.0</v>
      </c>
      <c r="B5" s="9" t="s">
        <v>80</v>
      </c>
      <c r="C5" s="9" t="s">
        <v>68</v>
      </c>
      <c r="D5" s="9">
        <v>79.95</v>
      </c>
      <c r="E5" s="23"/>
      <c r="F5" s="9" t="s">
        <v>79</v>
      </c>
      <c r="G5" s="9" t="s">
        <v>11</v>
      </c>
      <c r="K5" s="9" t="s">
        <v>43</v>
      </c>
      <c r="L5" s="17">
        <f>SUM(D2:D200)</f>
        <v>984.58</v>
      </c>
    </row>
    <row r="6">
      <c r="A6" s="11">
        <v>45963.0</v>
      </c>
      <c r="B6" s="9" t="s">
        <v>88</v>
      </c>
      <c r="C6" s="9" t="s">
        <v>68</v>
      </c>
      <c r="D6" s="9">
        <v>125.21</v>
      </c>
      <c r="F6" s="9" t="s">
        <v>79</v>
      </c>
      <c r="G6" s="9" t="s">
        <v>11</v>
      </c>
      <c r="K6" s="9" t="s">
        <v>47</v>
      </c>
      <c r="L6" s="17">
        <f>SUM(E2:E200)</f>
        <v>798.35</v>
      </c>
    </row>
    <row r="7">
      <c r="A7" s="23">
        <v>46005.0</v>
      </c>
      <c r="B7" s="9" t="s">
        <v>98</v>
      </c>
      <c r="C7" s="9" t="s">
        <v>68</v>
      </c>
      <c r="D7" s="9">
        <v>214.82</v>
      </c>
      <c r="F7" s="9" t="s">
        <v>17</v>
      </c>
      <c r="G7" s="9" t="s">
        <v>11</v>
      </c>
      <c r="K7" s="9" t="s">
        <v>50</v>
      </c>
      <c r="L7" s="17">
        <f>L6-L5</f>
        <v>-186.23</v>
      </c>
    </row>
    <row r="8">
      <c r="A8" s="11">
        <v>46028.0</v>
      </c>
      <c r="B8" s="9" t="s">
        <v>106</v>
      </c>
      <c r="C8" s="9" t="s">
        <v>68</v>
      </c>
      <c r="D8" s="9">
        <v>83.61</v>
      </c>
      <c r="F8" s="9" t="s">
        <v>17</v>
      </c>
      <c r="G8" s="9" t="s">
        <v>11</v>
      </c>
    </row>
    <row r="9">
      <c r="A9" s="11">
        <v>46038.0</v>
      </c>
      <c r="B9" s="9" t="s">
        <v>108</v>
      </c>
      <c r="C9" s="9" t="s">
        <v>68</v>
      </c>
      <c r="E9" s="9">
        <v>200.0</v>
      </c>
    </row>
    <row r="10">
      <c r="A10" s="11">
        <v>46063.0</v>
      </c>
      <c r="B10" s="9" t="s">
        <v>21</v>
      </c>
      <c r="C10" s="9" t="s">
        <v>16</v>
      </c>
      <c r="D10" s="9">
        <v>145.39</v>
      </c>
      <c r="F10" s="9" t="s">
        <v>114</v>
      </c>
      <c r="G10" s="9" t="s">
        <v>11</v>
      </c>
    </row>
    <row r="11">
      <c r="A11" s="11">
        <v>46072.0</v>
      </c>
      <c r="B11" s="9" t="s">
        <v>115</v>
      </c>
      <c r="C11" s="9" t="s">
        <v>16</v>
      </c>
      <c r="D11" s="9">
        <v>25.65</v>
      </c>
      <c r="F11" s="9" t="s">
        <v>116</v>
      </c>
      <c r="G11" s="9" t="s">
        <v>11</v>
      </c>
    </row>
    <row r="12">
      <c r="A12" s="11">
        <v>46120.0</v>
      </c>
      <c r="B12" s="9" t="s">
        <v>128</v>
      </c>
      <c r="C12" s="9" t="s">
        <v>16</v>
      </c>
      <c r="E12" s="9">
        <v>598.35</v>
      </c>
    </row>
  </sheetData>
  <dataValidations>
    <dataValidation type="list" allowBlank="1" showErrorMessage="1" sqref="G2:G8 G10:G11">
      <formula1>"oui,non"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45818.0</v>
      </c>
      <c r="B2" s="6" t="s">
        <v>18</v>
      </c>
      <c r="C2" s="8" t="s">
        <v>19</v>
      </c>
      <c r="D2" s="7">
        <v>502.0</v>
      </c>
      <c r="E2" s="6"/>
      <c r="F2" s="6" t="s">
        <v>20</v>
      </c>
      <c r="G2" s="8" t="s">
        <v>11</v>
      </c>
    </row>
    <row r="3">
      <c r="A3" s="11">
        <v>45917.0</v>
      </c>
      <c r="B3" s="9" t="s">
        <v>69</v>
      </c>
      <c r="C3" s="9" t="s">
        <v>19</v>
      </c>
      <c r="E3" s="9">
        <v>32.0</v>
      </c>
      <c r="G3" s="9" t="s">
        <v>11</v>
      </c>
    </row>
    <row r="4">
      <c r="A4" s="11">
        <v>45934.0</v>
      </c>
      <c r="B4" s="9" t="s">
        <v>73</v>
      </c>
      <c r="C4" s="9" t="s">
        <v>19</v>
      </c>
      <c r="E4" s="9">
        <v>40.0</v>
      </c>
      <c r="G4" s="9" t="s">
        <v>11</v>
      </c>
    </row>
    <row r="5">
      <c r="A5" s="23">
        <v>45940.0</v>
      </c>
      <c r="B5" s="9" t="s">
        <v>77</v>
      </c>
      <c r="C5" s="9" t="s">
        <v>19</v>
      </c>
      <c r="D5" s="9">
        <v>60.0</v>
      </c>
      <c r="F5" s="9" t="s">
        <v>20</v>
      </c>
      <c r="G5" s="9" t="s">
        <v>11</v>
      </c>
      <c r="K5" s="9" t="s">
        <v>43</v>
      </c>
      <c r="L5" s="17">
        <f>SUM(D2:D200)</f>
        <v>724</v>
      </c>
    </row>
    <row r="6">
      <c r="A6" s="23">
        <v>45958.0</v>
      </c>
      <c r="B6" s="9" t="s">
        <v>83</v>
      </c>
      <c r="C6" s="9" t="s">
        <v>19</v>
      </c>
      <c r="E6" s="9">
        <v>30.0</v>
      </c>
      <c r="G6" s="9" t="s">
        <v>11</v>
      </c>
      <c r="K6" s="9" t="s">
        <v>47</v>
      </c>
      <c r="L6" s="17">
        <f>SUM(E2:E200)</f>
        <v>352</v>
      </c>
    </row>
    <row r="7">
      <c r="A7" s="23">
        <v>45980.0</v>
      </c>
      <c r="B7" s="9" t="s">
        <v>90</v>
      </c>
      <c r="C7" s="9" t="s">
        <v>19</v>
      </c>
      <c r="D7" s="9">
        <v>162.0</v>
      </c>
      <c r="F7" s="9" t="s">
        <v>141</v>
      </c>
      <c r="G7" s="9" t="s">
        <v>11</v>
      </c>
      <c r="K7" s="9" t="s">
        <v>50</v>
      </c>
      <c r="L7" s="17">
        <f>L6-L5</f>
        <v>-372</v>
      </c>
    </row>
    <row r="8">
      <c r="A8" s="11">
        <v>45994.0</v>
      </c>
      <c r="B8" s="9" t="s">
        <v>92</v>
      </c>
      <c r="C8" s="9" t="s">
        <v>19</v>
      </c>
      <c r="E8" s="9">
        <v>29.0</v>
      </c>
      <c r="G8" s="9" t="s">
        <v>11</v>
      </c>
    </row>
    <row r="9">
      <c r="A9" s="11">
        <v>45995.0</v>
      </c>
      <c r="B9" s="9" t="s">
        <v>93</v>
      </c>
      <c r="C9" s="9" t="s">
        <v>19</v>
      </c>
      <c r="E9" s="9">
        <v>39.0</v>
      </c>
      <c r="G9" s="9" t="s">
        <v>11</v>
      </c>
    </row>
    <row r="10">
      <c r="A10" s="23">
        <v>46011.0</v>
      </c>
      <c r="B10" s="9" t="s">
        <v>102</v>
      </c>
      <c r="C10" s="9" t="s">
        <v>19</v>
      </c>
      <c r="E10" s="9">
        <v>30.0</v>
      </c>
    </row>
    <row r="11">
      <c r="A11" s="23">
        <v>46011.0</v>
      </c>
      <c r="B11" s="9" t="s">
        <v>103</v>
      </c>
      <c r="C11" s="9" t="s">
        <v>19</v>
      </c>
      <c r="E11" s="9">
        <v>33.0</v>
      </c>
    </row>
    <row r="12">
      <c r="A12" s="11">
        <v>46038.0</v>
      </c>
      <c r="B12" s="9" t="s">
        <v>92</v>
      </c>
      <c r="C12" s="9" t="s">
        <v>19</v>
      </c>
      <c r="E12" s="9">
        <v>31.0</v>
      </c>
    </row>
    <row r="13">
      <c r="A13" s="11">
        <v>46055.0</v>
      </c>
      <c r="B13" s="9" t="s">
        <v>83</v>
      </c>
      <c r="C13" s="9" t="s">
        <v>19</v>
      </c>
      <c r="E13" s="9">
        <v>34.0</v>
      </c>
    </row>
    <row r="14">
      <c r="A14" s="11">
        <v>46082.0</v>
      </c>
      <c r="B14" s="9" t="s">
        <v>93</v>
      </c>
      <c r="C14" s="9" t="s">
        <v>19</v>
      </c>
      <c r="E14" s="9">
        <v>54.0</v>
      </c>
    </row>
  </sheetData>
  <dataValidations>
    <dataValidation type="list" allowBlank="1" showErrorMessage="1" sqref="G2:G9">
      <formula1>"oui,non"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5">
        <v>45760.0</v>
      </c>
      <c r="B2" s="6" t="s">
        <v>12</v>
      </c>
      <c r="C2" s="6" t="s">
        <v>13</v>
      </c>
      <c r="D2" s="7">
        <v>7.1</v>
      </c>
      <c r="E2" s="6"/>
      <c r="F2" s="6" t="s">
        <v>14</v>
      </c>
      <c r="G2" s="8" t="s">
        <v>11</v>
      </c>
    </row>
    <row r="3">
      <c r="A3" s="11">
        <v>45895.0</v>
      </c>
      <c r="B3" s="9" t="s">
        <v>49</v>
      </c>
      <c r="C3" s="9" t="s">
        <v>13</v>
      </c>
      <c r="E3" s="9">
        <v>70.0</v>
      </c>
      <c r="F3" s="9" t="s">
        <v>14</v>
      </c>
      <c r="G3" s="9" t="s">
        <v>11</v>
      </c>
    </row>
    <row r="4">
      <c r="A4" s="11">
        <v>45911.0</v>
      </c>
      <c r="B4" s="9" t="s">
        <v>64</v>
      </c>
      <c r="C4" s="9" t="s">
        <v>13</v>
      </c>
      <c r="D4" s="9">
        <v>76.6</v>
      </c>
      <c r="F4" s="9" t="s">
        <v>14</v>
      </c>
      <c r="G4" s="9" t="s">
        <v>11</v>
      </c>
    </row>
    <row r="5">
      <c r="A5" s="11">
        <v>45922.0</v>
      </c>
      <c r="B5" s="9" t="s">
        <v>64</v>
      </c>
      <c r="C5" s="9" t="s">
        <v>13</v>
      </c>
      <c r="D5" s="9">
        <v>26.05</v>
      </c>
      <c r="F5" s="9" t="s">
        <v>14</v>
      </c>
      <c r="G5" s="9" t="s">
        <v>11</v>
      </c>
      <c r="K5" s="9" t="s">
        <v>43</v>
      </c>
      <c r="L5" s="17">
        <f>SUM(D2:D200)</f>
        <v>1169.55</v>
      </c>
    </row>
    <row r="6">
      <c r="A6" s="11">
        <v>45922.0</v>
      </c>
      <c r="B6" s="9" t="s">
        <v>49</v>
      </c>
      <c r="C6" s="9" t="s">
        <v>13</v>
      </c>
      <c r="E6" s="9">
        <v>60.0</v>
      </c>
      <c r="F6" s="9" t="s">
        <v>14</v>
      </c>
      <c r="G6" s="9" t="s">
        <v>11</v>
      </c>
      <c r="K6" s="9" t="s">
        <v>47</v>
      </c>
      <c r="L6" s="17">
        <f>SUM(E2:E200)</f>
        <v>900</v>
      </c>
    </row>
    <row r="7">
      <c r="A7" s="11">
        <v>45937.0</v>
      </c>
      <c r="B7" s="9" t="s">
        <v>75</v>
      </c>
      <c r="C7" s="9" t="s">
        <v>13</v>
      </c>
      <c r="D7" s="9">
        <v>200.0</v>
      </c>
      <c r="F7" s="9" t="s">
        <v>14</v>
      </c>
      <c r="G7" s="9" t="s">
        <v>11</v>
      </c>
      <c r="K7" s="9" t="s">
        <v>50</v>
      </c>
      <c r="L7" s="17">
        <f>L6-L5</f>
        <v>-269.55</v>
      </c>
    </row>
    <row r="8">
      <c r="A8" s="5">
        <v>45966.0</v>
      </c>
      <c r="B8" s="6" t="s">
        <v>89</v>
      </c>
      <c r="C8" s="6" t="s">
        <v>13</v>
      </c>
      <c r="D8" s="7">
        <v>204.8</v>
      </c>
      <c r="E8" s="6"/>
      <c r="F8" s="6" t="s">
        <v>142</v>
      </c>
      <c r="G8" s="6" t="s">
        <v>11</v>
      </c>
    </row>
    <row r="9">
      <c r="A9" s="23">
        <v>45980.0</v>
      </c>
      <c r="B9" s="9" t="s">
        <v>89</v>
      </c>
      <c r="C9" s="9" t="s">
        <v>13</v>
      </c>
      <c r="D9" s="9">
        <v>400.0</v>
      </c>
      <c r="F9" s="9" t="s">
        <v>14</v>
      </c>
      <c r="G9" s="9" t="s">
        <v>11</v>
      </c>
    </row>
    <row r="10">
      <c r="A10" s="11">
        <v>45996.0</v>
      </c>
      <c r="B10" s="9" t="s">
        <v>89</v>
      </c>
      <c r="C10" s="9" t="s">
        <v>13</v>
      </c>
      <c r="D10" s="9">
        <v>10.0</v>
      </c>
      <c r="F10" s="9" t="s">
        <v>14</v>
      </c>
      <c r="G10" s="9" t="s">
        <v>11</v>
      </c>
    </row>
    <row r="11">
      <c r="A11" s="11">
        <v>46037.0</v>
      </c>
      <c r="B11" s="9" t="s">
        <v>89</v>
      </c>
      <c r="C11" s="9" t="s">
        <v>13</v>
      </c>
      <c r="D11" s="9">
        <v>197.0</v>
      </c>
      <c r="F11" s="9" t="s">
        <v>14</v>
      </c>
      <c r="G11" s="9" t="s">
        <v>11</v>
      </c>
    </row>
    <row r="12">
      <c r="A12" s="11">
        <v>46039.0</v>
      </c>
      <c r="B12" s="9" t="s">
        <v>89</v>
      </c>
      <c r="C12" s="9" t="s">
        <v>13</v>
      </c>
      <c r="D12" s="9">
        <v>33.0</v>
      </c>
      <c r="F12" s="9" t="s">
        <v>14</v>
      </c>
      <c r="G12" s="9" t="s">
        <v>11</v>
      </c>
    </row>
    <row r="13">
      <c r="A13" s="11">
        <v>46053.0</v>
      </c>
      <c r="B13" s="9" t="s">
        <v>49</v>
      </c>
      <c r="C13" s="9" t="s">
        <v>13</v>
      </c>
      <c r="E13" s="9">
        <v>390.0</v>
      </c>
    </row>
    <row r="14">
      <c r="A14" s="11">
        <v>46081.0</v>
      </c>
      <c r="B14" s="9" t="s">
        <v>49</v>
      </c>
      <c r="C14" s="9" t="s">
        <v>117</v>
      </c>
      <c r="E14" s="9">
        <v>100.0</v>
      </c>
    </row>
    <row r="15">
      <c r="A15" s="11">
        <v>46092.0</v>
      </c>
      <c r="B15" s="9" t="s">
        <v>89</v>
      </c>
      <c r="C15" s="9" t="s">
        <v>13</v>
      </c>
      <c r="D15" s="9">
        <v>15.0</v>
      </c>
      <c r="F15" s="9" t="s">
        <v>121</v>
      </c>
      <c r="G15" s="9" t="s">
        <v>11</v>
      </c>
    </row>
    <row r="16">
      <c r="A16" s="11">
        <v>46093.0</v>
      </c>
      <c r="B16" s="9" t="s">
        <v>122</v>
      </c>
      <c r="C16" s="9" t="s">
        <v>13</v>
      </c>
      <c r="E16" s="9">
        <v>30.0</v>
      </c>
    </row>
    <row r="17">
      <c r="A17" s="11">
        <v>46120.0</v>
      </c>
      <c r="B17" s="9" t="s">
        <v>129</v>
      </c>
      <c r="C17" s="9" t="s">
        <v>130</v>
      </c>
      <c r="E17" s="9">
        <v>250.0</v>
      </c>
    </row>
  </sheetData>
  <dataValidations>
    <dataValidation type="list" allowBlank="1" showErrorMessage="1" sqref="G2:G12 G15">
      <formula1>"oui,non"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8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23">
        <v>45976.0</v>
      </c>
      <c r="B2" s="9" t="s">
        <v>90</v>
      </c>
      <c r="C2" s="9" t="s">
        <v>91</v>
      </c>
      <c r="D2" s="9">
        <v>625.0</v>
      </c>
    </row>
    <row r="3">
      <c r="A3" s="23">
        <v>46011.0</v>
      </c>
      <c r="B3" s="9" t="s">
        <v>101</v>
      </c>
      <c r="C3" s="9" t="s">
        <v>91</v>
      </c>
      <c r="E3" s="9">
        <v>403.0</v>
      </c>
    </row>
    <row r="5">
      <c r="K5" s="9" t="s">
        <v>43</v>
      </c>
      <c r="L5" s="17">
        <f>SUM(D2:D200)</f>
        <v>625</v>
      </c>
    </row>
    <row r="6">
      <c r="K6" s="9" t="s">
        <v>47</v>
      </c>
      <c r="L6" s="17">
        <f>SUM(E2:E200)</f>
        <v>403</v>
      </c>
    </row>
    <row r="7">
      <c r="K7" s="9" t="s">
        <v>50</v>
      </c>
      <c r="L7" s="17">
        <f>L6-L5</f>
        <v>-222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11">
        <v>45997.0</v>
      </c>
      <c r="B2" s="9" t="s">
        <v>89</v>
      </c>
      <c r="C2" s="9" t="s">
        <v>94</v>
      </c>
      <c r="D2" s="9">
        <v>166.84</v>
      </c>
      <c r="F2" s="9" t="s">
        <v>95</v>
      </c>
      <c r="G2" s="9" t="s">
        <v>11</v>
      </c>
    </row>
    <row r="3">
      <c r="A3" s="11">
        <v>46028.0</v>
      </c>
      <c r="B3" s="9" t="s">
        <v>46</v>
      </c>
      <c r="C3" s="9" t="s">
        <v>94</v>
      </c>
      <c r="E3" s="9">
        <v>330.0</v>
      </c>
    </row>
    <row r="4">
      <c r="A4" s="11">
        <v>46063.0</v>
      </c>
      <c r="B4" s="9" t="s">
        <v>113</v>
      </c>
      <c r="C4" s="9" t="s">
        <v>94</v>
      </c>
      <c r="D4" s="9">
        <v>9.4</v>
      </c>
      <c r="F4" s="9" t="s">
        <v>95</v>
      </c>
      <c r="G4" s="9" t="s">
        <v>11</v>
      </c>
    </row>
    <row r="5">
      <c r="K5" s="9" t="s">
        <v>43</v>
      </c>
      <c r="L5" s="17">
        <f>SUM(D2:D200)</f>
        <v>176.24</v>
      </c>
    </row>
    <row r="6">
      <c r="K6" s="9" t="s">
        <v>47</v>
      </c>
      <c r="L6" s="17">
        <f>SUM(E2:E200)</f>
        <v>330</v>
      </c>
    </row>
    <row r="7">
      <c r="K7" s="9" t="s">
        <v>50</v>
      </c>
      <c r="L7" s="17">
        <f>L6-L5</f>
        <v>153.76</v>
      </c>
    </row>
  </sheetData>
  <dataValidations>
    <dataValidation type="list" allowBlank="1" showErrorMessage="1" sqref="G2 G4">
      <formula1>"oui,non"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5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>
      <c r="A2" s="23">
        <v>46004.0</v>
      </c>
      <c r="B2" s="9" t="s">
        <v>96</v>
      </c>
      <c r="C2" s="9" t="s">
        <v>96</v>
      </c>
      <c r="D2" s="9">
        <v>56.0</v>
      </c>
      <c r="F2" s="9" t="s">
        <v>97</v>
      </c>
      <c r="G2" s="9" t="s">
        <v>11</v>
      </c>
    </row>
    <row r="3">
      <c r="A3" s="11">
        <v>46045.0</v>
      </c>
      <c r="B3" s="9" t="s">
        <v>90</v>
      </c>
      <c r="C3" s="9" t="s">
        <v>96</v>
      </c>
      <c r="D3" s="9">
        <v>45.0</v>
      </c>
      <c r="F3" s="9" t="s">
        <v>97</v>
      </c>
      <c r="G3" s="9" t="s">
        <v>11</v>
      </c>
    </row>
    <row r="4">
      <c r="A4" s="11">
        <v>46053.0</v>
      </c>
      <c r="B4" s="9" t="s">
        <v>111</v>
      </c>
      <c r="C4" s="9" t="s">
        <v>9</v>
      </c>
      <c r="D4" s="9">
        <v>25.93</v>
      </c>
      <c r="F4" s="9" t="s">
        <v>112</v>
      </c>
      <c r="G4" s="9" t="s">
        <v>11</v>
      </c>
    </row>
    <row r="5">
      <c r="K5" s="9" t="s">
        <v>43</v>
      </c>
      <c r="L5" s="17">
        <f>SUM(D2:D200)</f>
        <v>126.93</v>
      </c>
    </row>
    <row r="6">
      <c r="K6" s="9" t="s">
        <v>47</v>
      </c>
      <c r="L6" s="17">
        <f>SUM(E2:E200)</f>
        <v>0</v>
      </c>
    </row>
    <row r="7">
      <c r="K7" s="9" t="s">
        <v>50</v>
      </c>
      <c r="L7" s="17">
        <f>L6-L5</f>
        <v>-126.93</v>
      </c>
    </row>
  </sheetData>
  <dataValidations>
    <dataValidation type="list" allowBlank="1" showErrorMessage="1" sqref="G2:G4">
      <formula1>"oui,non"</formula1>
    </dataValidation>
  </dataValidations>
  <drawing r:id="rId1"/>
</worksheet>
</file>